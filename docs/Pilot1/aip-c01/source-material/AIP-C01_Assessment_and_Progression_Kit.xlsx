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c9102459e740e8" /></Relationships>
</file>

<file path=xl/workbook.xml><?xml version="1.0" encoding="utf-8"?>
<x:workbook xmlns:x="http://schemas.openxmlformats.org/spreadsheetml/2006/main">
  <x:sheets>
    <x:sheet xmlns:r="http://schemas.openxmlformats.org/officeDocument/2006/relationships" name="Curriculum Matrix" sheetId="1" r:id="R8d50717623c44d9c"/>
    <x:sheet xmlns:r="http://schemas.openxmlformats.org/officeDocument/2006/relationships" name="Skill Coverage" sheetId="2" r:id="Rce6bb516a01544cc"/>
    <x:sheet xmlns:r="http://schemas.openxmlformats.org/officeDocument/2006/relationships" name="Summary" sheetId="3" r:id="Re3672b4a61b34574"/>
    <x:sheet xmlns:r="http://schemas.openxmlformats.org/officeDocument/2006/relationships" name="Legend" sheetId="4" r:id="Rba10ee89fe2f4a65"/>
    <x:sheet xmlns:r="http://schemas.openxmlformats.org/officeDocument/2006/relationships" name="Sources" sheetId="5" r:id="R713f1fae451e41ca"/>
    <x:sheet xmlns:r="http://schemas.openxmlformats.org/officeDocument/2006/relationships" name="Skill-Topic Map" sheetId="6" r:id="R64b42e94f7b7419d"/>
    <x:sheet xmlns:r="http://schemas.openxmlformats.org/officeDocument/2006/relationships" name="Initial Diagnostic" sheetId="7" r:id="Rc4fd837b604b43c1"/>
    <x:sheet xmlns:r="http://schemas.openxmlformats.org/officeDocument/2006/relationships" name="Answer Key &amp; Scoring" sheetId="8" r:id="Rc6b01c2513754b42"/>
    <x:sheet xmlns:r="http://schemas.openxmlformats.org/officeDocument/2006/relationships" name="Learner Progress" sheetId="9" r:id="Rb9c1d691ca8c44f8"/>
    <x:sheet xmlns:r="http://schemas.openxmlformats.org/officeDocument/2006/relationships" name="Diagnostic Summary" sheetId="10" r:id="R6e311e5f08b148b2"/>
    <x:sheet xmlns:r="http://schemas.openxmlformats.org/officeDocument/2006/relationships" name="Recommended Start" sheetId="11" r:id="Rb754a56b040f472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0">
    <x:font>
      <x:sz val="11"/>
      <x:name val="Carlito"/>
    </x:font>
    <x:font>
      <x:b/>
      <x:sz val="16"/>
      <x:color rgb="FFFFFF"/>
      <x:name val="Carlito"/>
    </x:font>
    <x:font>
      <x:i/>
      <x:sz val="11"/>
      <x:color rgb="17365D"/>
      <x:name val="Carlito"/>
    </x:font>
    <x:font>
      <x:sz val="10"/>
      <x:color rgb="595959"/>
      <x:name val="Carlito"/>
    </x:font>
    <x:font>
      <x:b/>
      <x:sz val="11"/>
      <x:color rgb="FFFFFF"/>
      <x:name val="Carlito"/>
    </x:font>
    <x:font>
      <x:b/>
      <x:sz val="11"/>
      <x:color rgb="17365D"/>
      <x:name val="Carlito"/>
    </x:font>
    <x:font>
      <x:b/>
      <x:sz val="18"/>
      <x:color rgb="17365D"/>
      <x:name val="Carlito"/>
    </x:font>
    <x:font>
      <x:b/>
      <x:sz val="12"/>
      <x:color rgb="7F6000"/>
      <x:name val="Carlito"/>
    </x:font>
    <x:font>
      <x:b/>
      <x:sz val="11"/>
      <x:color rgb="7F6000"/>
      <x:name val="Carlito"/>
    </x:font>
    <x:font>
      <x:b/>
      <x:sz val="9"/>
      <x:color rgb="17365D"/>
      <x:name val="Carlito"/>
    </x:font>
  </x:fonts>
  <x:fills count="13">
    <x:fill>
      <x:patternFill patternType="none"/>
    </x:fill>
    <x:fill>
      <x:patternFill patternType="gray125"/>
    </x:fill>
    <x:fill>
      <x:patternFill patternType="solid">
        <x:fgColor rgb="17365D"/>
      </x:patternFill>
    </x:fill>
    <x:fill>
      <x:patternFill patternType="solid">
        <x:fgColor rgb="D9EAF7"/>
      </x:patternFill>
    </x:fill>
    <x:fill>
      <x:patternFill patternType="solid">
        <x:fgColor rgb="EAF3F8"/>
      </x:patternFill>
    </x:fill>
    <x:fill>
      <x:patternFill patternType="solid">
        <x:fgColor rgb="1F4E78"/>
      </x:patternFill>
    </x:fill>
    <x:fill>
      <x:patternFill patternType="solid">
        <x:fgColor rgb="FFF2CC"/>
      </x:patternFill>
    </x:fill>
    <x:fill>
      <x:patternFill patternType="solid">
        <x:fgColor rgb="17365D"/>
      </x:patternFill>
    </x:fill>
    <x:fill>
      <x:patternFill patternType="solid">
        <x:fgColor rgb="D9EAF7"/>
      </x:patternFill>
    </x:fill>
    <x:fill>
      <x:patternFill patternType="solid">
        <x:fgColor rgb="1F4E78"/>
      </x:patternFill>
    </x:fill>
    <x:fill>
      <x:patternFill patternType="solid">
        <x:fgColor rgb="FFF2CC"/>
      </x:patternFill>
    </x:fill>
    <x:fill>
      <x:patternFill patternType="solid">
        <x:fgColor rgb="EAF3F8"/>
      </x:patternFill>
    </x:fill>
    <x:fill>
      <x:patternFill patternType="solid">
        <x:fgColor rgb="E7E6E6"/>
      </x:patternFill>
    </x:fill>
  </x:fills>
  <x:borders count="39">
    <x:border/>
    <x:border/>
    <x:border>
      <x:left>
        <x:color rgb="C9D3DC"/>
      </x:left>
      <x:right>
        <x:color rgb="E7E6E6"/>
      </x:right>
      <x:top>
        <x:color rgb="C9D3DC"/>
      </x:top>
      <x:bottom>
        <x:color rgb="E7E6E6"/>
      </x:bottom>
    </x:border>
    <x:border>
      <x:left>
        <x:color rgb="E7E6E6"/>
      </x:left>
      <x:right>
        <x:color rgb="E7E6E6"/>
      </x:right>
      <x:top>
        <x:color rgb="C9D3DC"/>
      </x:top>
      <x:bottom>
        <x:color rgb="E7E6E6"/>
      </x:bottom>
    </x:border>
    <x:border>
      <x:left>
        <x:color rgb="E7E6E6"/>
      </x:left>
      <x:right>
        <x:color rgb="C9D3DC"/>
      </x:right>
      <x:top>
        <x:color rgb="C9D3DC"/>
      </x:top>
      <x:bottom>
        <x:color rgb="E7E6E6"/>
      </x:bottom>
    </x:border>
    <x:border>
      <x:left>
        <x:color rgb="C9D3DC"/>
      </x:left>
      <x:right>
        <x:color rgb="E7E6E6"/>
      </x:right>
      <x:top>
        <x:color rgb="E7E6E6"/>
      </x:top>
      <x:bottom>
        <x:color rgb="E7E6E6"/>
      </x:bottom>
    </x:border>
    <x:border>
      <x:left>
        <x:color rgb="E7E6E6"/>
      </x:left>
      <x:right>
        <x:color rgb="E7E6E6"/>
      </x:right>
      <x:top>
        <x:color rgb="E7E6E6"/>
      </x:top>
      <x:bottom>
        <x:color rgb="E7E6E6"/>
      </x:bottom>
    </x:border>
    <x:border>
      <x:left>
        <x:color rgb="E7E6E6"/>
      </x:left>
      <x:right>
        <x:color rgb="C9D3DC"/>
      </x:right>
      <x:top>
        <x:color rgb="E7E6E6"/>
      </x:top>
      <x:bottom>
        <x:color rgb="E7E6E6"/>
      </x:bottom>
    </x:border>
    <x:border>
      <x:left>
        <x:color rgb="C9D3DC"/>
      </x:left>
      <x:right>
        <x:color rgb="E7E6E6"/>
      </x:right>
      <x:top>
        <x:color rgb="E7E6E6"/>
      </x:top>
      <x:bottom>
        <x:color rgb="C9D3DC"/>
      </x:bottom>
    </x:border>
    <x:border>
      <x:left>
        <x:color rgb="E7E6E6"/>
      </x:left>
      <x:right>
        <x:color rgb="E7E6E6"/>
      </x:right>
      <x:top>
        <x:color rgb="E7E6E6"/>
      </x:top>
      <x:bottom>
        <x:color rgb="C9D3DC"/>
      </x:bottom>
    </x:border>
    <x:border>
      <x:left>
        <x:color rgb="E7E6E6"/>
      </x:left>
      <x:right>
        <x:color rgb="C9D3DC"/>
      </x:right>
      <x:top>
        <x:color rgb="E7E6E6"/>
      </x:top>
      <x:bottom>
        <x:color rgb="C9D3DC"/>
      </x:bottom>
    </x:border>
    <x:border>
      <x:left>
        <x:color rgb="C9D3DC"/>
      </x:left>
      <x:right>
        <x:color rgb="E7E6E6"/>
      </x:right>
      <x:top>
        <x:color rgb="C9D3DC"/>
      </x:top>
      <x:bottom>
        <x:color rgb="E7E6E6"/>
      </x:bottom>
    </x:border>
    <x:border>
      <x:left>
        <x:color rgb="E7E6E6"/>
      </x:left>
      <x:right>
        <x:color rgb="E7E6E6"/>
      </x:right>
      <x:top>
        <x:color rgb="C9D3DC"/>
      </x:top>
      <x:bottom>
        <x:color rgb="E7E6E6"/>
      </x:bottom>
    </x:border>
    <x:border>
      <x:left>
        <x:color rgb="E7E6E6"/>
      </x:left>
      <x:right>
        <x:color rgb="C9D3DC"/>
      </x:right>
      <x:top>
        <x:color rgb="C9D3DC"/>
      </x:top>
      <x:bottom>
        <x:color rgb="E7E6E6"/>
      </x:bottom>
    </x:border>
    <x:border>
      <x:left>
        <x:color rgb="C9D3DC"/>
      </x:left>
      <x:right>
        <x:color rgb="E7E6E6"/>
      </x:right>
      <x:top>
        <x:color rgb="E7E6E6"/>
      </x:top>
      <x:bottom>
        <x:color rgb="E7E6E6"/>
      </x:bottom>
    </x:border>
    <x:border>
      <x:left>
        <x:color rgb="E7E6E6"/>
      </x:left>
      <x:right>
        <x:color rgb="E7E6E6"/>
      </x:right>
      <x:top>
        <x:color rgb="E7E6E6"/>
      </x:top>
      <x:bottom>
        <x:color rgb="E7E6E6"/>
      </x:bottom>
    </x:border>
    <x:border>
      <x:left>
        <x:color rgb="E7E6E6"/>
      </x:left>
      <x:right>
        <x:color rgb="C9D3DC"/>
      </x:right>
      <x:top>
        <x:color rgb="E7E6E6"/>
      </x:top>
      <x:bottom>
        <x:color rgb="E7E6E6"/>
      </x:bottom>
    </x:border>
    <x:border>
      <x:left>
        <x:color rgb="C9D3DC"/>
      </x:left>
      <x:right>
        <x:color rgb="E7E6E6"/>
      </x:right>
      <x:top>
        <x:color rgb="E7E6E6"/>
      </x:top>
      <x:bottom>
        <x:color rgb="C9D3DC"/>
      </x:bottom>
    </x:border>
    <x:border>
      <x:left>
        <x:color rgb="E7E6E6"/>
      </x:left>
      <x:right>
        <x:color rgb="E7E6E6"/>
      </x:right>
      <x:top>
        <x:color rgb="E7E6E6"/>
      </x:top>
      <x:bottom>
        <x:color rgb="C9D3DC"/>
      </x:bottom>
    </x:border>
    <x:border>
      <x:left>
        <x:color rgb="E7E6E6"/>
      </x:left>
      <x:right>
        <x:color rgb="C9D3DC"/>
      </x:right>
      <x:top>
        <x:color rgb="E7E6E6"/>
      </x:top>
      <x:bottom>
        <x:color rgb="C9D3DC"/>
      </x:bottom>
    </x:border>
    <x:border>
      <x:left>
        <x:color rgb="C9D3DC"/>
      </x:left>
      <x:right>
        <x:color rgb="E7E6E6"/>
      </x:right>
      <x:top>
        <x:color rgb="C9D3DC"/>
      </x:top>
      <x:bottom>
        <x:color rgb="C9D3DC"/>
      </x:bottom>
    </x:border>
    <x:border>
      <x:left>
        <x:color rgb="E7E6E6"/>
      </x:left>
      <x:right>
        <x:color rgb="C9D3DC"/>
      </x:right>
      <x:top>
        <x:color rgb="C9D3DC"/>
      </x:top>
      <x:bottom>
        <x:color rgb="C9D3DC"/>
      </x:bottom>
    </x:border>
    <x:border>
      <x:left>
        <x:color rgb="C9D3DC"/>
      </x:left>
      <x:right>
        <x:color rgb="E7E6E6"/>
      </x:right>
      <x:top>
        <x:color rgb="C9D3DC"/>
      </x:top>
      <x:bottom>
        <x:color rgb="C9D3DC"/>
      </x:bottom>
    </x:border>
    <x:border>
      <x:left>
        <x:color rgb="E7E6E6"/>
      </x:left>
      <x:right>
        <x:color rgb="C9D3DC"/>
      </x:right>
      <x:top>
        <x:color rgb="C9D3DC"/>
      </x:top>
      <x:bottom>
        <x:color rgb="C9D3DC"/>
      </x:bottom>
    </x:border>
    <x:border>
      <x:left>
        <x:color rgb="C9D3DC"/>
      </x:left>
      <x:right>
        <x:color rgb="E7E6E6"/>
      </x:right>
      <x:top>
        <x:color rgb="C9D3DC"/>
      </x:top>
      <x:bottom>
        <x:color rgb="E7E6E6"/>
      </x:bottom>
    </x:border>
    <x:border>
      <x:left>
        <x:color rgb="E7E6E6"/>
      </x:left>
      <x:right>
        <x:color rgb="E7E6E6"/>
      </x:right>
      <x:top>
        <x:color rgb="C9D3DC"/>
      </x:top>
      <x:bottom>
        <x:color rgb="E7E6E6"/>
      </x:bottom>
    </x:border>
    <x:border>
      <x:left>
        <x:color rgb="E7E6E6"/>
      </x:left>
      <x:right>
        <x:color rgb="C9D3DC"/>
      </x:right>
      <x:top>
        <x:color rgb="C9D3DC"/>
      </x:top>
      <x:bottom>
        <x:color rgb="E7E6E6"/>
      </x:bottom>
    </x:border>
    <x:border>
      <x:left>
        <x:color rgb="C9D3DC"/>
      </x:left>
      <x:right>
        <x:color rgb="E7E6E6"/>
      </x:right>
      <x:top>
        <x:color rgb="E7E6E6"/>
      </x:top>
      <x:bottom>
        <x:color rgb="E7E6E6"/>
      </x:bottom>
    </x:border>
    <x:border>
      <x:left>
        <x:color rgb="E7E6E6"/>
      </x:left>
      <x:right>
        <x:color rgb="E7E6E6"/>
      </x:right>
      <x:top>
        <x:color rgb="E7E6E6"/>
      </x:top>
      <x:bottom>
        <x:color rgb="E7E6E6"/>
      </x:bottom>
    </x:border>
    <x:border>
      <x:left>
        <x:color rgb="E7E6E6"/>
      </x:left>
      <x:right>
        <x:color rgb="C9D3DC"/>
      </x:right>
      <x:top>
        <x:color rgb="E7E6E6"/>
      </x:top>
      <x:bottom>
        <x:color rgb="E7E6E6"/>
      </x:bottom>
    </x:border>
    <x:border>
      <x:left>
        <x:color rgb="C9D3DC"/>
      </x:left>
      <x:right>
        <x:color rgb="E7E6E6"/>
      </x:right>
      <x:top>
        <x:color rgb="E7E6E6"/>
      </x:top>
      <x:bottom>
        <x:color rgb="C9D3DC"/>
      </x:bottom>
    </x:border>
    <x:border>
      <x:left>
        <x:color rgb="E7E6E6"/>
      </x:left>
      <x:right>
        <x:color rgb="E7E6E6"/>
      </x:right>
      <x:top>
        <x:color rgb="E7E6E6"/>
      </x:top>
      <x:bottom>
        <x:color rgb="C9D3DC"/>
      </x:bottom>
    </x:border>
    <x:border>
      <x:left>
        <x:color rgb="E7E6E6"/>
      </x:left>
      <x:right>
        <x:color rgb="C9D3DC"/>
      </x:right>
      <x:top>
        <x:color rgb="E7E6E6"/>
      </x:top>
      <x:bottom>
        <x:color rgb="C9D3DC"/>
      </x:bottom>
    </x:border>
    <x:border>
      <x:left>
        <x:color rgb="C9D3DC"/>
      </x:left>
      <x:right>
        <x:color rgb="C9D3DC"/>
      </x:right>
      <x:top>
        <x:color rgb="C9D3DC"/>
      </x:top>
      <x:bottom>
        <x:color rgb="E7E6E6"/>
      </x:bottom>
    </x:border>
    <x:border>
      <x:left>
        <x:color rgb="C9D3DC"/>
      </x:left>
      <x:right>
        <x:color rgb="C9D3DC"/>
      </x:right>
      <x:top>
        <x:color rgb="E7E6E6"/>
      </x:top>
      <x:bottom>
        <x:color rgb="E7E6E6"/>
      </x:bottom>
    </x:border>
    <x:border>
      <x:left>
        <x:color rgb="C9D3DC"/>
      </x:left>
      <x:right>
        <x:color rgb="C9D3DC"/>
      </x:right>
      <x:top>
        <x:color rgb="E7E6E6"/>
      </x:top>
      <x:bottom>
        <x:color rgb="C9D3DC"/>
      </x:bottom>
    </x:border>
    <x:border>
      <x:left>
        <x:color rgb="C9D3DC"/>
      </x:left>
      <x:right>
        <x:color rgb="E7E6E6"/>
      </x:right>
      <x:top>
        <x:color rgb="C9D3DC"/>
      </x:top>
      <x:bottom>
        <x:color rgb="C9D3DC"/>
      </x:bottom>
    </x:border>
    <x:border>
      <x:left>
        <x:color rgb="E7E6E6"/>
      </x:left>
      <x:right>
        <x:color rgb="C9D3DC"/>
      </x:right>
      <x:top>
        <x:color rgb="C9D3DC"/>
      </x:top>
      <x:bottom>
        <x:color rgb="C9D3DC"/>
      </x:bottom>
    </x:border>
    <x:border>
      <x:left>
        <x:color rgb="C9D3DC"/>
      </x:left>
      <x:right>
        <x:color rgb="C9D3DC"/>
      </x:right>
      <x:top>
        <x:color rgb="C9D3DC"/>
      </x:top>
      <x:bottom>
        <x:color rgb="C9D3DC"/>
      </x:bottom>
    </x:border>
  </x:borders>
  <x:cellStyleXfs count="1">
    <x:xf numFmtId="0" fontId="0" fillId="0" borderId="0"/>
  </x:cellStyleXfs>
  <x:cellXfs count="48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0" fillId="0" borderId="3" xfId="0" applyNumberFormat="1" applyFont="1" applyFill="1" applyBorder="1" applyAlignment="1">
      <x:alignment horizontal="center" vertical="top" wrapText="1"/>
    </x:xf>
    <x:xf numFmtId="0" fontId="0" fillId="0" borderId="6" xfId="0" applyNumberFormat="1" applyFont="1" applyFill="1" applyBorder="1" applyAlignment="1">
      <x:alignment horizontal="center" vertical="top" wrapText="1"/>
    </x:xf>
    <x:xf numFmtId="0" fontId="0" fillId="0" borderId="9" xfId="0" applyNumberFormat="1" applyFont="1" applyFill="1" applyBorder="1" applyAlignment="1">
      <x:alignment horizontal="center" vertical="top" wrapText="1"/>
    </x:xf>
    <x:xf numFmtId="0" fontId="0" fillId="0" borderId="12" xfId="0" applyNumberFormat="1" applyFont="1" applyFill="1" applyBorder="1" applyAlignment="1">
      <x:alignment horizontal="center" vertical="top" wrapText="1"/>
    </x:xf>
    <x:xf numFmtId="0" fontId="0" fillId="0" borderId="15" xfId="0" applyNumberFormat="1" applyFont="1" applyFill="1" applyBorder="1" applyAlignment="1">
      <x:alignment horizontal="center" vertical="top" wrapText="1"/>
    </x:xf>
    <x:xf numFmtId="0" fontId="0" fillId="0" borderId="18" xfId="0" applyNumberFormat="1" applyFont="1" applyFill="1" applyBorder="1" applyAlignment="1">
      <x:alignment horizontal="center" vertical="top" wrapText="1"/>
    </x:xf>
    <x:xf numFmtId="0" fontId="5" fillId="3" borderId="0" xfId="0" applyNumberFormat="1" applyFont="1" applyFill="1" applyBorder="1"/>
    <x:xf numFmtId="0" fontId="5" fillId="3" borderId="0" xfId="0" applyNumberFormat="1" applyFont="1" applyFill="1" applyBorder="1" applyAlignment="1">
      <x:alignment vertical="center"/>
    </x:xf>
    <x:xf numFmtId="0" fontId="5" fillId="3" borderId="1" xfId="0" applyNumberFormat="1" applyFont="1" applyFill="1" applyBorder="1"/>
    <x:xf numFmtId="0" fontId="5" fillId="3" borderId="1" xfId="0" applyNumberFormat="1" applyFont="1" applyFill="1" applyBorder="1" applyAlignment="1">
      <x:alignment vertical="center"/>
    </x:xf>
    <x:xf numFmtId="0" fontId="6" fillId="4" borderId="0" xfId="0" applyNumberFormat="1" applyFont="1" applyFill="1" applyBorder="1"/>
    <x:xf numFmtId="0" fontId="6" fillId="4" borderId="2" xfId="0" applyNumberFormat="1" applyFont="1" applyFill="1" applyBorder="1"/>
    <x:xf numFmtId="0" fontId="6" fillId="4" borderId="4" xfId="0" applyNumberFormat="1" applyFont="1" applyFill="1" applyBorder="1"/>
    <x:xf numFmtId="0" fontId="6" fillId="4" borderId="5" xfId="0" applyNumberFormat="1" applyFont="1" applyFill="1" applyBorder="1"/>
    <x:xf numFmtId="0" fontId="6" fillId="4" borderId="7" xfId="0" applyNumberFormat="1" applyFont="1" applyFill="1" applyBorder="1"/>
    <x:xf numFmtId="0" fontId="6" fillId="4" borderId="8" xfId="0" applyNumberFormat="1" applyFont="1" applyFill="1" applyBorder="1"/>
    <x:xf numFmtId="0" fontId="6" fillId="4" borderId="10" xfId="0" applyNumberFormat="1" applyFont="1" applyFill="1" applyBorder="1"/>
    <x:xf numFmtId="0" fontId="6" fillId="4" borderId="2" xfId="0" applyNumberFormat="1" applyFont="1" applyFill="1" applyBorder="1" applyAlignment="1">
      <x:alignment horizontal="center"/>
    </x:xf>
    <x:xf numFmtId="0" fontId="6" fillId="4" borderId="4" xfId="0" applyNumberFormat="1" applyFont="1" applyFill="1" applyBorder="1" applyAlignment="1">
      <x:alignment horizontal="center"/>
    </x:xf>
    <x:xf numFmtId="0" fontId="6" fillId="4" borderId="5" xfId="0" applyNumberFormat="1" applyFont="1" applyFill="1" applyBorder="1" applyAlignment="1">
      <x:alignment horizontal="center"/>
    </x:xf>
    <x:xf numFmtId="0" fontId="6" fillId="4" borderId="7" xfId="0" applyNumberFormat="1" applyFont="1" applyFill="1" applyBorder="1" applyAlignment="1">
      <x:alignment horizontal="center"/>
    </x:xf>
    <x:xf numFmtId="0" fontId="6" fillId="4" borderId="8" xfId="0" applyNumberFormat="1" applyFont="1" applyFill="1" applyBorder="1" applyAlignment="1">
      <x:alignment horizontal="center"/>
    </x:xf>
    <x:xf numFmtId="0" fontId="6" fillId="4" borderId="10" xfId="0" applyNumberFormat="1" applyFont="1" applyFill="1" applyBorder="1" applyAlignment="1">
      <x:alignment horizontal="center"/>
    </x:xf>
    <x:xf numFmtId="0" fontId="6" fillId="4" borderId="2"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4" borderId="5" xfId="0" applyNumberFormat="1" applyFont="1" applyFill="1" applyBorder="1" applyAlignment="1">
      <x:alignment horizontal="center" vertical="center"/>
    </x:xf>
    <x:xf numFmtId="0" fontId="6" fillId="4" borderId="7" xfId="0" applyNumberFormat="1" applyFont="1" applyFill="1" applyBorder="1" applyAlignment="1">
      <x:alignment horizontal="center" vertical="center"/>
    </x:xf>
    <x:xf numFmtId="0" fontId="6" fillId="4" borderId="8" xfId="0" applyNumberFormat="1" applyFont="1" applyFill="1" applyBorder="1" applyAlignment="1">
      <x:alignment horizontal="center" vertical="center"/>
    </x:xf>
    <x:xf numFmtId="0" fontId="6" fillId="4" borderId="10" xfId="0" applyNumberFormat="1" applyFont="1" applyFill="1" applyBorder="1" applyAlignment="1">
      <x:alignment horizontal="center" vertical="center"/>
    </x:xf>
    <x:xf numFmtId="0" fontId="6" fillId="4" borderId="1" xfId="0" applyNumberFormat="1" applyFont="1" applyFill="1" applyBorder="1"/>
    <x:xf numFmtId="0" fontId="6" fillId="4" borderId="11" xfId="0" applyNumberFormat="1" applyFont="1" applyFill="1" applyBorder="1"/>
    <x:xf numFmtId="0" fontId="6" fillId="4" borderId="13" xfId="0" applyNumberFormat="1" applyFont="1" applyFill="1" applyBorder="1"/>
    <x:xf numFmtId="0" fontId="6" fillId="4" borderId="14" xfId="0" applyNumberFormat="1" applyFont="1" applyFill="1" applyBorder="1"/>
    <x:xf numFmtId="0" fontId="6" fillId="4" borderId="16" xfId="0" applyNumberFormat="1" applyFont="1" applyFill="1" applyBorder="1"/>
    <x:xf numFmtId="0" fontId="6" fillId="4" borderId="17" xfId="0" applyNumberFormat="1" applyFont="1" applyFill="1" applyBorder="1"/>
    <x:xf numFmtId="0" fontId="6" fillId="4" borderId="19" xfId="0" applyNumberFormat="1" applyFont="1" applyFill="1" applyBorder="1"/>
    <x:xf numFmtId="0" fontId="6" fillId="4" borderId="11" xfId="0" applyNumberFormat="1" applyFont="1" applyFill="1" applyBorder="1" applyAlignment="1">
      <x:alignment horizontal="center"/>
    </x:xf>
    <x:xf numFmtId="0" fontId="6" fillId="4" borderId="13" xfId="0" applyNumberFormat="1" applyFont="1" applyFill="1" applyBorder="1" applyAlignment="1">
      <x:alignment horizontal="center"/>
    </x:xf>
    <x:xf numFmtId="0" fontId="6" fillId="4" borderId="14" xfId="0" applyNumberFormat="1" applyFont="1" applyFill="1" applyBorder="1" applyAlignment="1">
      <x:alignment horizontal="center"/>
    </x:xf>
    <x:xf numFmtId="0" fontId="6" fillId="4" borderId="16" xfId="0" applyNumberFormat="1" applyFont="1" applyFill="1" applyBorder="1" applyAlignment="1">
      <x:alignment horizontal="center"/>
    </x:xf>
    <x:xf numFmtId="0" fontId="6" fillId="4" borderId="17" xfId="0" applyNumberFormat="1" applyFont="1" applyFill="1" applyBorder="1" applyAlignment="1">
      <x:alignment horizontal="center"/>
    </x:xf>
    <x:xf numFmtId="0" fontId="6" fillId="4" borderId="19" xfId="0" applyNumberFormat="1" applyFont="1" applyFill="1" applyBorder="1" applyAlignment="1">
      <x:alignment horizontal="center"/>
    </x:xf>
    <x:xf numFmtId="0" fontId="6" fillId="4" borderId="11" xfId="0" applyNumberFormat="1" applyFont="1" applyFill="1" applyBorder="1" applyAlignment="1">
      <x:alignment horizontal="center" vertical="center"/>
    </x:xf>
    <x:xf numFmtId="0" fontId="6" fillId="4" borderId="13" xfId="0" applyNumberFormat="1" applyFont="1" applyFill="1" applyBorder="1" applyAlignment="1">
      <x:alignment horizontal="center" vertical="center"/>
    </x:xf>
    <x:xf numFmtId="0" fontId="6" fillId="4" borderId="14" xfId="0" applyNumberFormat="1" applyFont="1" applyFill="1" applyBorder="1" applyAlignment="1">
      <x:alignment horizontal="center" vertical="center"/>
    </x:xf>
    <x:xf numFmtId="0" fontId="6" fillId="4" borderId="16" xfId="0" applyNumberFormat="1" applyFont="1" applyFill="1" applyBorder="1" applyAlignment="1">
      <x:alignment horizontal="center" vertical="center"/>
    </x:xf>
    <x:xf numFmtId="0" fontId="6" fillId="4" borderId="17" xfId="0" applyNumberFormat="1" applyFont="1" applyFill="1" applyBorder="1" applyAlignment="1">
      <x:alignment horizontal="center" vertical="center"/>
    </x:xf>
    <x:xf numFmtId="0" fontId="6" fillId="4" borderId="19" xfId="0" applyNumberFormat="1" applyFont="1" applyFill="1" applyBorder="1" applyAlignment="1">
      <x:alignment horizontal="center" vertic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 xfId="0" applyNumberFormat="1" applyFont="1" applyFill="1" applyBorder="1" applyAlignment="1">
      <x:alignment horizontal="center" wrapText="1"/>
    </x:xf>
    <x:xf numFmtId="0" fontId="0" fillId="0" borderId="5" xfId="0" applyNumberFormat="1" applyFont="1" applyFill="1" applyBorder="1" applyAlignment="1">
      <x:alignment horizontal="center" wrapText="1"/>
    </x:xf>
    <x:xf numFmtId="0" fontId="0" fillId="0" borderId="8" xfId="0" applyNumberFormat="1" applyFont="1" applyFill="1" applyBorder="1" applyAlignment="1">
      <x:alignment horizontal="center" wrapText="1"/>
    </x:xf>
    <x:xf numFmtId="0" fontId="0" fillId="0" borderId="11" xfId="0" applyNumberFormat="1" applyFont="1" applyFill="1" applyBorder="1" applyAlignment="1">
      <x:alignment horizontal="center" wrapText="1"/>
    </x:xf>
    <x:xf numFmtId="0" fontId="0" fillId="0" borderId="14" xfId="0" applyNumberFormat="1" applyFont="1" applyFill="1" applyBorder="1" applyAlignment="1">
      <x:alignment horizontal="center" wrapText="1"/>
    </x:xf>
    <x:xf numFmtId="0" fontId="0" fillId="0" borderId="17" xfId="0" applyNumberFormat="1" applyFont="1" applyFill="1" applyBorder="1" applyAlignment="1">
      <x:alignment horizontal="center" wrapText="1"/>
    </x:xf>
    <x:xf numFmtId="200" fontId="0" fillId="0" borderId="0" xfId="0" applyNumberFormat="1" applyFont="1" applyFill="1" applyBorder="1"/>
    <x:xf numFmtId="200" fontId="0" fillId="0" borderId="1" xfId="0" applyNumberFormat="1" applyFont="1" applyFill="1" applyBorder="1"/>
    <x:xf numFmtId="200" fontId="0" fillId="0" borderId="4" xfId="0" applyNumberFormat="1" applyFont="1" applyFill="1" applyBorder="1"/>
    <x:xf numFmtId="200" fontId="0" fillId="0" borderId="7" xfId="0" applyNumberFormat="1" applyFont="1" applyFill="1" applyBorder="1"/>
    <x:xf numFmtId="200" fontId="0" fillId="0" borderId="10" xfId="0" applyNumberFormat="1" applyFont="1" applyFill="1" applyBorder="1"/>
    <x:xf numFmtId="200" fontId="0" fillId="0" borderId="13" xfId="0" applyNumberFormat="1" applyFont="1" applyFill="1" applyBorder="1"/>
    <x:xf numFmtId="200" fontId="0" fillId="0" borderId="16" xfId="0" applyNumberFormat="1" applyFont="1" applyFill="1" applyBorder="1"/>
    <x:xf numFmtId="200" fontId="0" fillId="0" borderId="19" xfId="0" applyNumberFormat="1" applyFont="1" applyFill="1" applyBorder="1"/>
    <x:xf numFmtId="200" fontId="0" fillId="0" borderId="4" xfId="0" applyNumberFormat="1" applyFont="1" applyFill="1" applyBorder="1" applyAlignment="1">
      <x:alignment wrapText="1"/>
    </x:xf>
    <x:xf numFmtId="200" fontId="0" fillId="0" borderId="7" xfId="0" applyNumberFormat="1" applyFont="1" applyFill="1" applyBorder="1" applyAlignment="1">
      <x:alignment wrapText="1"/>
    </x:xf>
    <x:xf numFmtId="200" fontId="0" fillId="0" borderId="10" xfId="0" applyNumberFormat="1" applyFont="1" applyFill="1" applyBorder="1" applyAlignment="1">
      <x:alignment wrapText="1"/>
    </x:xf>
    <x:xf numFmtId="200" fontId="0" fillId="0" borderId="13" xfId="0" applyNumberFormat="1" applyFont="1" applyFill="1" applyBorder="1" applyAlignment="1">
      <x:alignment wrapText="1"/>
    </x:xf>
    <x:xf numFmtId="200" fontId="0" fillId="0" borderId="16" xfId="0" applyNumberFormat="1" applyFont="1" applyFill="1" applyBorder="1" applyAlignment="1">
      <x:alignment wrapText="1"/>
    </x:xf>
    <x:xf numFmtId="200" fontId="0" fillId="0" borderId="19"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2" xfId="0" applyNumberFormat="1" applyFont="1" applyFill="1" applyBorder="1"/>
    <x:xf numFmtId="0" fontId="7" fillId="6" borderId="3" xfId="0" applyNumberFormat="1" applyFont="1" applyFill="1" applyBorder="1"/>
    <x:xf numFmtId="0" fontId="7" fillId="6" borderId="4" xfId="0" applyNumberFormat="1" applyFont="1" applyFill="1" applyBorder="1"/>
    <x:xf numFmtId="0" fontId="7" fillId="6" borderId="5"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9" xfId="0" applyNumberFormat="1" applyFont="1" applyFill="1" applyBorder="1"/>
    <x:xf numFmtId="0" fontId="7" fillId="6" borderId="10" xfId="0" applyNumberFormat="1" applyFont="1" applyFill="1" applyBorder="1"/>
    <x:xf numFmtId="0" fontId="7" fillId="6" borderId="2" xfId="0" applyNumberFormat="1" applyFont="1" applyFill="1" applyBorder="1" applyAlignment="1">
      <x:alignment wrapText="1"/>
    </x:xf>
    <x:xf numFmtId="0" fontId="7" fillId="6" borderId="3" xfId="0" applyNumberFormat="1" applyFont="1" applyFill="1" applyBorder="1" applyAlignment="1">
      <x:alignment wrapText="1"/>
    </x:xf>
    <x:xf numFmtId="0" fontId="7" fillId="6" borderId="4" xfId="0" applyNumberFormat="1" applyFont="1" applyFill="1" applyBorder="1" applyAlignment="1">
      <x:alignment wrapText="1"/>
    </x:xf>
    <x:xf numFmtId="0" fontId="7" fillId="6" borderId="5" xfId="0" applyNumberFormat="1" applyFont="1" applyFill="1" applyBorder="1" applyAlignment="1">
      <x:alignment wrapText="1"/>
    </x:xf>
    <x:xf numFmtId="0" fontId="7" fillId="6" borderId="6"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9" xfId="0" applyNumberFormat="1" applyFont="1" applyFill="1" applyBorder="1" applyAlignment="1">
      <x:alignment wrapText="1"/>
    </x:xf>
    <x:xf numFmtId="0" fontId="7" fillId="6" borderId="10" xfId="0" applyNumberFormat="1" applyFont="1" applyFill="1" applyBorder="1" applyAlignment="1">
      <x:alignment wrapText="1"/>
    </x:xf>
    <x:xf numFmtId="0" fontId="7" fillId="6" borderId="2" xfId="0" applyNumberFormat="1" applyFont="1" applyFill="1" applyBorder="1" applyAlignment="1">
      <x:alignment horizontal="center" wrapText="1"/>
    </x:xf>
    <x:xf numFmtId="0" fontId="7" fillId="6" borderId="3" xfId="0" applyNumberFormat="1" applyFont="1" applyFill="1" applyBorder="1" applyAlignment="1">
      <x:alignment horizontal="center" wrapText="1"/>
    </x:xf>
    <x:xf numFmtId="0" fontId="7" fillId="6" borderId="4" xfId="0" applyNumberFormat="1" applyFont="1" applyFill="1" applyBorder="1" applyAlignment="1">
      <x:alignment horizontal="center" wrapText="1"/>
    </x:xf>
    <x:xf numFmtId="0" fontId="7" fillId="6" borderId="5" xfId="0" applyNumberFormat="1" applyFont="1" applyFill="1" applyBorder="1" applyAlignment="1">
      <x:alignment horizontal="center" wrapText="1"/>
    </x:xf>
    <x:xf numFmtId="0" fontId="7" fillId="6" borderId="6" xfId="0" applyNumberFormat="1" applyFont="1" applyFill="1" applyBorder="1" applyAlignment="1">
      <x:alignment horizontal="center" wrapText="1"/>
    </x:xf>
    <x:xf numFmtId="0" fontId="7" fillId="6" borderId="7" xfId="0" applyNumberFormat="1" applyFont="1" applyFill="1" applyBorder="1" applyAlignment="1">
      <x:alignment horizontal="center" wrapText="1"/>
    </x:xf>
    <x:xf numFmtId="0" fontId="7" fillId="6" borderId="8" xfId="0" applyNumberFormat="1" applyFont="1" applyFill="1" applyBorder="1" applyAlignment="1">
      <x:alignment horizontal="center" wrapText="1"/>
    </x:xf>
    <x:xf numFmtId="0" fontId="7" fillId="6" borderId="9" xfId="0" applyNumberFormat="1" applyFont="1" applyFill="1" applyBorder="1" applyAlignment="1">
      <x:alignment horizontal="center" wrapText="1"/>
    </x:xf>
    <x:xf numFmtId="0" fontId="7" fillId="6" borderId="10" xfId="0" applyNumberFormat="1" applyFont="1" applyFill="1" applyBorder="1" applyAlignment="1">
      <x:alignment horizontal="center" wrapText="1"/>
    </x:xf>
    <x:xf numFmtId="0" fontId="7" fillId="6" borderId="2" xfId="0" applyNumberFormat="1" applyFont="1" applyFill="1" applyBorder="1" applyAlignment="1">
      <x:alignment horizontal="center" vertical="center" wrapText="1"/>
    </x:xf>
    <x:xf numFmtId="0" fontId="7" fillId="6" borderId="3" xfId="0" applyNumberFormat="1" applyFont="1" applyFill="1" applyBorder="1" applyAlignment="1">
      <x:alignment horizontal="center" vertical="center" wrapText="1"/>
    </x:xf>
    <x:xf numFmtId="0" fontId="7" fillId="6" borderId="4" xfId="0" applyNumberFormat="1" applyFont="1" applyFill="1" applyBorder="1" applyAlignment="1">
      <x:alignment horizontal="center" vertical="center" wrapText="1"/>
    </x:xf>
    <x:xf numFmtId="0" fontId="7" fillId="6" borderId="5" xfId="0" applyNumberFormat="1" applyFont="1" applyFill="1" applyBorder="1" applyAlignment="1">
      <x:alignment horizontal="center" vertical="center" wrapText="1"/>
    </x:xf>
    <x:xf numFmtId="0" fontId="7" fillId="6" borderId="6" xfId="0" applyNumberFormat="1" applyFont="1" applyFill="1" applyBorder="1" applyAlignment="1">
      <x:alignment horizontal="center" vertical="center" wrapText="1"/>
    </x:xf>
    <x:xf numFmtId="0" fontId="7" fillId="6" borderId="7" xfId="0" applyNumberFormat="1" applyFont="1" applyFill="1" applyBorder="1" applyAlignment="1">
      <x:alignment horizontal="center" vertical="center" wrapText="1"/>
    </x:xf>
    <x:xf numFmtId="0" fontId="7" fillId="6" borderId="8" xfId="0" applyNumberFormat="1" applyFont="1" applyFill="1" applyBorder="1" applyAlignment="1">
      <x:alignment horizontal="center" vertical="center" wrapText="1"/>
    </x:xf>
    <x:xf numFmtId="0" fontId="7" fillId="6" borderId="9" xfId="0" applyNumberFormat="1" applyFont="1" applyFill="1" applyBorder="1" applyAlignment="1">
      <x:alignment horizontal="center" vertical="center" wrapText="1"/>
    </x:xf>
    <x:xf numFmtId="0" fontId="7" fillId="6" borderId="10" xfId="0" applyNumberFormat="1" applyFont="1" applyFill="1" applyBorder="1" applyAlignment="1">
      <x:alignment horizontal="center" vertical="center" wrapText="1"/>
    </x:xf>
    <x:xf numFmtId="0" fontId="0" fillId="6" borderId="1" xfId="0" applyNumberFormat="1" applyFont="1" applyFill="1" applyBorder="1"/>
    <x:xf numFmtId="0" fontId="7" fillId="6" borderId="1" xfId="0" applyNumberFormat="1" applyFont="1" applyFill="1" applyBorder="1"/>
    <x:xf numFmtId="0" fontId="7" fillId="6" borderId="11" xfId="0" applyNumberFormat="1" applyFont="1" applyFill="1" applyBorder="1"/>
    <x:xf numFmtId="0" fontId="7" fillId="6" borderId="12" xfId="0" applyNumberFormat="1" applyFont="1" applyFill="1" applyBorder="1"/>
    <x:xf numFmtId="0" fontId="7" fillId="6" borderId="13" xfId="0" applyNumberFormat="1" applyFont="1" applyFill="1" applyBorder="1"/>
    <x:xf numFmtId="0" fontId="7" fillId="6" borderId="14" xfId="0" applyNumberFormat="1" applyFont="1" applyFill="1" applyBorder="1"/>
    <x:xf numFmtId="0" fontId="7" fillId="6" borderId="15" xfId="0" applyNumberFormat="1" applyFont="1" applyFill="1" applyBorder="1"/>
    <x:xf numFmtId="0" fontId="7" fillId="6" borderId="16" xfId="0" applyNumberFormat="1" applyFont="1" applyFill="1" applyBorder="1"/>
    <x:xf numFmtId="0" fontId="7" fillId="6" borderId="17" xfId="0" applyNumberFormat="1" applyFont="1" applyFill="1" applyBorder="1"/>
    <x:xf numFmtId="0" fontId="7" fillId="6" borderId="18" xfId="0" applyNumberFormat="1" applyFont="1" applyFill="1" applyBorder="1"/>
    <x:xf numFmtId="0" fontId="7" fillId="6" borderId="19" xfId="0" applyNumberFormat="1" applyFont="1" applyFill="1" applyBorder="1"/>
    <x:xf numFmtId="0" fontId="7" fillId="6" borderId="11" xfId="0" applyNumberFormat="1" applyFont="1" applyFill="1" applyBorder="1" applyAlignment="1">
      <x:alignment wrapText="1"/>
    </x:xf>
    <x:xf numFmtId="0" fontId="7" fillId="6" borderId="12" xfId="0" applyNumberFormat="1" applyFont="1" applyFill="1" applyBorder="1" applyAlignment="1">
      <x:alignment wrapText="1"/>
    </x:xf>
    <x:xf numFmtId="0" fontId="7" fillId="6" borderId="13" xfId="0" applyNumberFormat="1" applyFont="1" applyFill="1" applyBorder="1" applyAlignment="1">
      <x:alignment wrapText="1"/>
    </x:xf>
    <x:xf numFmtId="0" fontId="7" fillId="6" borderId="14" xfId="0" applyNumberFormat="1" applyFont="1" applyFill="1" applyBorder="1" applyAlignment="1">
      <x:alignment wrapText="1"/>
    </x:xf>
    <x:xf numFmtId="0" fontId="7" fillId="6" borderId="15" xfId="0" applyNumberFormat="1" applyFont="1" applyFill="1" applyBorder="1" applyAlignment="1">
      <x:alignment wrapText="1"/>
    </x:xf>
    <x:xf numFmtId="0" fontId="7" fillId="6" borderId="16" xfId="0" applyNumberFormat="1" applyFont="1" applyFill="1" applyBorder="1" applyAlignment="1">
      <x:alignment wrapText="1"/>
    </x:xf>
    <x:xf numFmtId="0" fontId="7" fillId="6" borderId="17" xfId="0" applyNumberFormat="1" applyFont="1" applyFill="1" applyBorder="1" applyAlignment="1">
      <x:alignment wrapText="1"/>
    </x:xf>
    <x:xf numFmtId="0" fontId="7" fillId="6" borderId="18" xfId="0" applyNumberFormat="1" applyFont="1" applyFill="1" applyBorder="1" applyAlignment="1">
      <x:alignment wrapText="1"/>
    </x:xf>
    <x:xf numFmtId="0" fontId="7" fillId="6" borderId="19" xfId="0" applyNumberFormat="1" applyFont="1" applyFill="1" applyBorder="1" applyAlignment="1">
      <x:alignment wrapText="1"/>
    </x:xf>
    <x:xf numFmtId="0" fontId="7" fillId="6" borderId="11" xfId="0" applyNumberFormat="1" applyFont="1" applyFill="1" applyBorder="1" applyAlignment="1">
      <x:alignment horizontal="center" wrapText="1"/>
    </x:xf>
    <x:xf numFmtId="0" fontId="7" fillId="6" borderId="12" xfId="0" applyNumberFormat="1" applyFont="1" applyFill="1" applyBorder="1" applyAlignment="1">
      <x:alignment horizontal="center" wrapText="1"/>
    </x:xf>
    <x:xf numFmtId="0" fontId="7" fillId="6" borderId="13" xfId="0" applyNumberFormat="1" applyFont="1" applyFill="1" applyBorder="1" applyAlignment="1">
      <x:alignment horizontal="center" wrapText="1"/>
    </x:xf>
    <x:xf numFmtId="0" fontId="7" fillId="6" borderId="14" xfId="0" applyNumberFormat="1" applyFont="1" applyFill="1" applyBorder="1" applyAlignment="1">
      <x:alignment horizontal="center" wrapText="1"/>
    </x:xf>
    <x:xf numFmtId="0" fontId="7" fillId="6" borderId="15" xfId="0" applyNumberFormat="1" applyFont="1" applyFill="1" applyBorder="1" applyAlignment="1">
      <x:alignment horizontal="center" wrapText="1"/>
    </x:xf>
    <x:xf numFmtId="0" fontId="7" fillId="6" borderId="16" xfId="0" applyNumberFormat="1" applyFont="1" applyFill="1" applyBorder="1" applyAlignment="1">
      <x:alignment horizontal="center" wrapText="1"/>
    </x:xf>
    <x:xf numFmtId="0" fontId="7" fillId="6" borderId="17" xfId="0" applyNumberFormat="1" applyFont="1" applyFill="1" applyBorder="1" applyAlignment="1">
      <x:alignment horizontal="center" wrapText="1"/>
    </x:xf>
    <x:xf numFmtId="0" fontId="7" fillId="6" borderId="18" xfId="0" applyNumberFormat="1" applyFont="1" applyFill="1" applyBorder="1" applyAlignment="1">
      <x:alignment horizontal="center" wrapText="1"/>
    </x:xf>
    <x:xf numFmtId="0" fontId="7" fillId="6" borderId="19" xfId="0" applyNumberFormat="1" applyFont="1" applyFill="1" applyBorder="1" applyAlignment="1">
      <x:alignment horizontal="center" wrapText="1"/>
    </x:xf>
    <x:xf numFmtId="0" fontId="7" fillId="6" borderId="11" xfId="0" applyNumberFormat="1" applyFont="1" applyFill="1" applyBorder="1" applyAlignment="1">
      <x:alignment horizontal="center" vertical="center" wrapText="1"/>
    </x:xf>
    <x:xf numFmtId="0" fontId="7" fillId="6" borderId="12" xfId="0" applyNumberFormat="1" applyFont="1" applyFill="1" applyBorder="1" applyAlignment="1">
      <x:alignment horizontal="center" vertical="center" wrapText="1"/>
    </x:xf>
    <x:xf numFmtId="0" fontId="7" fillId="6" borderId="13" xfId="0" applyNumberFormat="1" applyFont="1" applyFill="1" applyBorder="1" applyAlignment="1">
      <x:alignment horizontal="center" vertical="center" wrapText="1"/>
    </x:xf>
    <x:xf numFmtId="0" fontId="7" fillId="6" borderId="14" xfId="0" applyNumberFormat="1" applyFont="1" applyFill="1" applyBorder="1" applyAlignment="1">
      <x:alignment horizontal="center" vertical="center" wrapText="1"/>
    </x:xf>
    <x:xf numFmtId="0" fontId="7" fillId="6" borderId="15" xfId="0" applyNumberFormat="1" applyFont="1" applyFill="1" applyBorder="1" applyAlignment="1">
      <x:alignment horizontal="center" vertical="center" wrapText="1"/>
    </x:xf>
    <x:xf numFmtId="0" fontId="7" fillId="6" borderId="16" xfId="0" applyNumberFormat="1" applyFont="1" applyFill="1" applyBorder="1" applyAlignment="1">
      <x:alignment horizontal="center" vertical="center" wrapText="1"/>
    </x:xf>
    <x:xf numFmtId="0" fontId="7" fillId="6" borderId="17" xfId="0" applyNumberFormat="1" applyFont="1" applyFill="1" applyBorder="1" applyAlignment="1">
      <x:alignment horizontal="center" vertical="center" wrapText="1"/>
    </x:xf>
    <x:xf numFmtId="0" fontId="7" fillId="6" borderId="18" xfId="0" applyNumberFormat="1" applyFont="1" applyFill="1" applyBorder="1" applyAlignment="1">
      <x:alignment horizontal="center" vertical="center" wrapText="1"/>
    </x:xf>
    <x:xf numFmtId="0" fontId="7" fillId="6" borderId="19"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8" fillId="6" borderId="0" xfId="0" applyNumberFormat="1" applyFont="1" applyFill="1" applyBorder="1"/>
    <x:xf numFmtId="0" fontId="8" fillId="6" borderId="2" xfId="0" applyNumberFormat="1" applyFont="1" applyFill="1" applyBorder="1"/>
    <x:xf numFmtId="0" fontId="8" fillId="6" borderId="3" xfId="0" applyNumberFormat="1" applyFont="1" applyFill="1" applyBorder="1"/>
    <x:xf numFmtId="0" fontId="8" fillId="6" borderId="4" xfId="0" applyNumberFormat="1" applyFont="1" applyFill="1" applyBorder="1"/>
    <x:xf numFmtId="0" fontId="8" fillId="6" borderId="5" xfId="0" applyNumberFormat="1" applyFont="1" applyFill="1" applyBorder="1"/>
    <x:xf numFmtId="0" fontId="8" fillId="6" borderId="6" xfId="0" applyNumberFormat="1" applyFont="1" applyFill="1" applyBorder="1"/>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2" xfId="0" applyNumberFormat="1" applyFont="1" applyFill="1" applyBorder="1" applyAlignment="1">
      <x:alignment wrapText="1"/>
    </x:xf>
    <x:xf numFmtId="0" fontId="8" fillId="6" borderId="3" xfId="0" applyNumberFormat="1" applyFont="1" applyFill="1" applyBorder="1" applyAlignment="1">
      <x:alignment wrapText="1"/>
    </x:xf>
    <x:xf numFmtId="0" fontId="8" fillId="6" borderId="4" xfId="0" applyNumberFormat="1" applyFont="1" applyFill="1" applyBorder="1" applyAlignment="1">
      <x:alignment wrapText="1"/>
    </x:xf>
    <x:xf numFmtId="0" fontId="8" fillId="6" borderId="5" xfId="0" applyNumberFormat="1" applyFont="1" applyFill="1" applyBorder="1" applyAlignment="1">
      <x:alignment wrapText="1"/>
    </x:xf>
    <x:xf numFmtId="0" fontId="8" fillId="6" borderId="6" xfId="0" applyNumberFormat="1" applyFont="1" applyFill="1" applyBorder="1" applyAlignment="1">
      <x:alignment wrapText="1"/>
    </x:xf>
    <x:xf numFmtId="0" fontId="8" fillId="6" borderId="7" xfId="0" applyNumberFormat="1" applyFont="1" applyFill="1" applyBorder="1" applyAlignment="1">
      <x:alignment wrapText="1"/>
    </x:xf>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10" xfId="0" applyNumberFormat="1" applyFont="1" applyFill="1" applyBorder="1" applyAlignment="1">
      <x:alignment wrapText="1"/>
    </x:xf>
    <x:xf numFmtId="0" fontId="8" fillId="6" borderId="2" xfId="0" applyNumberFormat="1" applyFont="1" applyFill="1" applyBorder="1" applyAlignment="1">
      <x:alignment vertical="center" wrapText="1"/>
    </x:xf>
    <x:xf numFmtId="0" fontId="8" fillId="6" borderId="3" xfId="0" applyNumberFormat="1" applyFont="1" applyFill="1" applyBorder="1" applyAlignment="1">
      <x:alignment vertical="center" wrapText="1"/>
    </x:xf>
    <x:xf numFmtId="0" fontId="8" fillId="6" borderId="4" xfId="0" applyNumberFormat="1" applyFont="1" applyFill="1" applyBorder="1" applyAlignment="1">
      <x:alignment vertical="center" wrapText="1"/>
    </x:xf>
    <x:xf numFmtId="0" fontId="8" fillId="6" borderId="5" xfId="0" applyNumberFormat="1" applyFont="1" applyFill="1" applyBorder="1" applyAlignment="1">
      <x:alignment vertical="center" wrapText="1"/>
    </x:xf>
    <x:xf numFmtId="0" fontId="8" fillId="6" borderId="6" xfId="0" applyNumberFormat="1" applyFont="1" applyFill="1" applyBorder="1" applyAlignment="1">
      <x:alignment vertical="center" wrapText="1"/>
    </x:xf>
    <x:xf numFmtId="0" fontId="8" fillId="6" borderId="7" xfId="0" applyNumberFormat="1" applyFont="1" applyFill="1" applyBorder="1" applyAlignment="1">
      <x:alignment vertical="center" wrapText="1"/>
    </x:xf>
    <x:xf numFmtId="0" fontId="8" fillId="6" borderId="8" xfId="0" applyNumberFormat="1" applyFont="1" applyFill="1" applyBorder="1" applyAlignment="1">
      <x:alignment vertical="center" wrapText="1"/>
    </x:xf>
    <x:xf numFmtId="0" fontId="8" fillId="6" borderId="9" xfId="0" applyNumberFormat="1" applyFont="1" applyFill="1" applyBorder="1" applyAlignment="1">
      <x:alignment vertical="center" wrapText="1"/>
    </x:xf>
    <x:xf numFmtId="0" fontId="8" fillId="6" borderId="10" xfId="0" applyNumberFormat="1" applyFont="1" applyFill="1" applyBorder="1" applyAlignment="1">
      <x:alignment vertical="center" wrapText="1"/>
    </x:xf>
    <x:xf numFmtId="0" fontId="8" fillId="6" borderId="1" xfId="0" applyNumberFormat="1" applyFont="1" applyFill="1" applyBorder="1"/>
    <x:xf numFmtId="0" fontId="8" fillId="6" borderId="11" xfId="0" applyNumberFormat="1" applyFont="1" applyFill="1" applyBorder="1"/>
    <x:xf numFmtId="0" fontId="8" fillId="6" borderId="12" xfId="0" applyNumberFormat="1" applyFont="1" applyFill="1" applyBorder="1"/>
    <x:xf numFmtId="0" fontId="8" fillId="6" borderId="13" xfId="0" applyNumberFormat="1" applyFont="1" applyFill="1" applyBorder="1"/>
    <x:xf numFmtId="0" fontId="8" fillId="6" borderId="14" xfId="0" applyNumberFormat="1" applyFont="1" applyFill="1" applyBorder="1"/>
    <x:xf numFmtId="0" fontId="8" fillId="6" borderId="15" xfId="0" applyNumberFormat="1" applyFont="1" applyFill="1" applyBorder="1"/>
    <x:xf numFmtId="0" fontId="8" fillId="6" borderId="16" xfId="0" applyNumberFormat="1" applyFont="1" applyFill="1" applyBorder="1"/>
    <x:xf numFmtId="0" fontId="8" fillId="6" borderId="17" xfId="0" applyNumberFormat="1" applyFont="1" applyFill="1" applyBorder="1"/>
    <x:xf numFmtId="0" fontId="8" fillId="6" borderId="18" xfId="0" applyNumberFormat="1" applyFont="1" applyFill="1" applyBorder="1"/>
    <x:xf numFmtId="0" fontId="8" fillId="6" borderId="19" xfId="0" applyNumberFormat="1" applyFont="1" applyFill="1" applyBorder="1"/>
    <x:xf numFmtId="0" fontId="8" fillId="6" borderId="11" xfId="0" applyNumberFormat="1" applyFont="1" applyFill="1" applyBorder="1" applyAlignment="1">
      <x:alignment wrapText="1"/>
    </x:xf>
    <x:xf numFmtId="0" fontId="8" fillId="6" borderId="12" xfId="0" applyNumberFormat="1" applyFont="1" applyFill="1" applyBorder="1" applyAlignment="1">
      <x:alignment wrapText="1"/>
    </x:xf>
    <x:xf numFmtId="0" fontId="8" fillId="6" borderId="13" xfId="0" applyNumberFormat="1" applyFont="1" applyFill="1" applyBorder="1" applyAlignment="1">
      <x:alignment wrapText="1"/>
    </x:xf>
    <x:xf numFmtId="0" fontId="8" fillId="6" borderId="14" xfId="0" applyNumberFormat="1" applyFont="1" applyFill="1" applyBorder="1" applyAlignment="1">
      <x:alignment wrapText="1"/>
    </x:xf>
    <x:xf numFmtId="0" fontId="8" fillId="6" borderId="15" xfId="0" applyNumberFormat="1" applyFont="1" applyFill="1" applyBorder="1" applyAlignment="1">
      <x:alignment wrapText="1"/>
    </x:xf>
    <x:xf numFmtId="0" fontId="8" fillId="6" borderId="16" xfId="0" applyNumberFormat="1" applyFont="1" applyFill="1" applyBorder="1" applyAlignment="1">
      <x:alignment wrapText="1"/>
    </x:xf>
    <x:xf numFmtId="0" fontId="8" fillId="6" borderId="17" xfId="0" applyNumberFormat="1" applyFont="1" applyFill="1" applyBorder="1" applyAlignment="1">
      <x:alignment wrapText="1"/>
    </x:xf>
    <x:xf numFmtId="0" fontId="8" fillId="6" borderId="18" xfId="0" applyNumberFormat="1" applyFont="1" applyFill="1" applyBorder="1" applyAlignment="1">
      <x:alignment wrapText="1"/>
    </x:xf>
    <x:xf numFmtId="0" fontId="8" fillId="6" borderId="19" xfId="0" applyNumberFormat="1" applyFont="1" applyFill="1" applyBorder="1" applyAlignment="1">
      <x:alignment wrapText="1"/>
    </x:xf>
    <x:xf numFmtId="0" fontId="8" fillId="6" borderId="11" xfId="0" applyNumberFormat="1" applyFont="1" applyFill="1" applyBorder="1" applyAlignment="1">
      <x:alignment vertical="center" wrapText="1"/>
    </x:xf>
    <x:xf numFmtId="0" fontId="8" fillId="6" borderId="12" xfId="0" applyNumberFormat="1" applyFont="1" applyFill="1" applyBorder="1" applyAlignment="1">
      <x:alignment vertical="center" wrapText="1"/>
    </x:xf>
    <x:xf numFmtId="0" fontId="8" fillId="6" borderId="13" xfId="0" applyNumberFormat="1" applyFont="1" applyFill="1" applyBorder="1" applyAlignment="1">
      <x:alignment vertical="center" wrapText="1"/>
    </x:xf>
    <x:xf numFmtId="0" fontId="8" fillId="6" borderId="14" xfId="0" applyNumberFormat="1" applyFont="1" applyFill="1" applyBorder="1" applyAlignment="1">
      <x:alignment vertical="center" wrapText="1"/>
    </x:xf>
    <x:xf numFmtId="0" fontId="8" fillId="6" borderId="15" xfId="0" applyNumberFormat="1" applyFont="1" applyFill="1" applyBorder="1" applyAlignment="1">
      <x:alignment vertical="center" wrapText="1"/>
    </x:xf>
    <x:xf numFmtId="0" fontId="8" fillId="6" borderId="16" xfId="0" applyNumberFormat="1" applyFont="1" applyFill="1" applyBorder="1" applyAlignment="1">
      <x:alignment vertical="center" wrapText="1"/>
    </x:xf>
    <x:xf numFmtId="0" fontId="8" fillId="6" borderId="17" xfId="0" applyNumberFormat="1" applyFont="1" applyFill="1" applyBorder="1" applyAlignment="1">
      <x:alignment vertical="center" wrapText="1"/>
    </x:xf>
    <x:xf numFmtId="0" fontId="8" fillId="6" borderId="18" xfId="0" applyNumberFormat="1" applyFont="1" applyFill="1" applyBorder="1" applyAlignment="1">
      <x:alignment vertical="center" wrapText="1"/>
    </x:xf>
    <x:xf numFmtId="0" fontId="8" fillId="6" borderId="19" xfId="0" applyNumberFormat="1" applyFont="1" applyFill="1" applyBorder="1" applyAlignment="1">
      <x:alignment vertical="center" wrapText="1"/>
    </x:xf>
    <x:xf numFmtId="0" fontId="0" fillId="0" borderId="3" xfId="0" applyNumberFormat="1" applyFont="1" applyFill="1" applyBorder="1" applyAlignment="1">
      <x:alignment horizontal="center" wrapText="1"/>
    </x:xf>
    <x:xf numFmtId="0" fontId="0" fillId="0" borderId="6" xfId="0" applyNumberFormat="1" applyFont="1" applyFill="1" applyBorder="1" applyAlignment="1">
      <x:alignment horizontal="center" wrapText="1"/>
    </x:xf>
    <x:xf numFmtId="0" fontId="0" fillId="0" borderId="9" xfId="0" applyNumberFormat="1" applyFont="1" applyFill="1" applyBorder="1" applyAlignment="1">
      <x:alignment horizontal="center" wrapText="1"/>
    </x:xf>
    <x:xf numFmtId="0" fontId="0" fillId="0" borderId="12" xfId="0" applyNumberFormat="1" applyFont="1" applyFill="1" applyBorder="1" applyAlignment="1">
      <x:alignment horizontal="center" wrapText="1"/>
    </x:xf>
    <x:xf numFmtId="0" fontId="0" fillId="0" borderId="15" xfId="0" applyNumberFormat="1" applyFont="1" applyFill="1" applyBorder="1" applyAlignment="1">
      <x:alignment horizontal="center" wrapText="1"/>
    </x:xf>
    <x:xf numFmtId="0" fontId="0" fillId="0" borderId="18" xfId="0" applyNumberFormat="1" applyFont="1" applyFill="1" applyBorder="1" applyAlignment="1">
      <x:alignment horizontal="center" wrapText="1"/>
    </x:xf>
    <x:xf numFmtId="0" fontId="9" fillId="3" borderId="0" xfId="0" applyNumberFormat="1" applyFont="1" applyFill="1" applyBorder="1" applyAlignment="1">
      <x:alignment vertical="center"/>
    </x:xf>
    <x:xf numFmtId="0" fontId="9" fillId="3" borderId="20" xfId="0" applyNumberFormat="1" applyFont="1" applyFill="1" applyBorder="1" applyAlignment="1">
      <x:alignment vertical="center"/>
    </x:xf>
    <x:xf numFmtId="0" fontId="9" fillId="3" borderId="21" xfId="0" applyNumberFormat="1" applyFont="1" applyFill="1" applyBorder="1" applyAlignment="1">
      <x:alignment vertical="center"/>
    </x:xf>
    <x:xf numFmtId="0" fontId="9" fillId="3" borderId="20" xfId="0" applyNumberFormat="1" applyFont="1" applyFill="1" applyBorder="1" applyAlignment="1">
      <x:alignment vertical="center" wrapText="1"/>
    </x:xf>
    <x:xf numFmtId="0" fontId="9" fillId="3" borderId="21" xfId="0" applyNumberFormat="1" applyFont="1" applyFill="1" applyBorder="1" applyAlignment="1">
      <x:alignment vertical="center" wrapText="1"/>
    </x:xf>
    <x:xf numFmtId="0" fontId="9" fillId="3" borderId="20" xfId="0" applyNumberFormat="1" applyFont="1" applyFill="1" applyBorder="1" applyAlignment="1">
      <x:alignment horizontal="center" vertical="center" wrapText="1"/>
    </x:xf>
    <x:xf numFmtId="0" fontId="9" fillId="3" borderId="21" xfId="0" applyNumberFormat="1" applyFont="1" applyFill="1" applyBorder="1" applyAlignment="1">
      <x:alignment horizontal="center" vertical="center" wrapText="1"/>
    </x:xf>
    <x:xf numFmtId="0" fontId="9" fillId="3" borderId="1" xfId="0" applyNumberFormat="1" applyFont="1" applyFill="1" applyBorder="1" applyAlignment="1">
      <x:alignment vertical="center"/>
    </x:xf>
    <x:xf numFmtId="0" fontId="9" fillId="3" borderId="22" xfId="0" applyNumberFormat="1" applyFont="1" applyFill="1" applyBorder="1" applyAlignment="1">
      <x:alignment vertical="center"/>
    </x:xf>
    <x:xf numFmtId="0" fontId="9" fillId="3" borderId="23" xfId="0" applyNumberFormat="1" applyFont="1" applyFill="1" applyBorder="1" applyAlignment="1">
      <x:alignment vertical="center"/>
    </x:xf>
    <x:xf numFmtId="0" fontId="9" fillId="3" borderId="22" xfId="0" applyNumberFormat="1" applyFont="1" applyFill="1" applyBorder="1" applyAlignment="1">
      <x:alignment vertical="center" wrapText="1"/>
    </x:xf>
    <x:xf numFmtId="0" fontId="9" fillId="3" borderId="23" xfId="0" applyNumberFormat="1" applyFont="1" applyFill="1" applyBorder="1" applyAlignment="1">
      <x:alignment vertical="center" wrapText="1"/>
    </x:xf>
    <x:xf numFmtId="0" fontId="9" fillId="3" borderId="22" xfId="0" applyNumberFormat="1" applyFont="1" applyFill="1" applyBorder="1" applyAlignment="1">
      <x:alignment horizontal="center" vertical="center" wrapText="1"/>
    </x:xf>
    <x:xf numFmtId="0" fontId="9" fillId="3" borderId="23" xfId="0" applyNumberFormat="1" applyFont="1" applyFill="1" applyBorder="1" applyAlignment="1">
      <x:alignment horizontal="center" vertical="center" wrapText="1"/>
    </x:xf>
    <x:xf numFmtId="0" fontId="0" fillId="0"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left"/>
    </x:xf>
    <x:xf numFmtId="0" fontId="1" fillId="7" borderId="0" xfId="0" applyNumberFormat="1" applyFont="1" applyFill="1" applyBorder="1" applyAlignment="1">
      <x:alignment horizontal="left"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vertical="center"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horizontal="center" wrapText="1"/>
    </x:xf>
    <x:xf numFmtId="0" fontId="4" fillId="9" borderId="0" xfId="0" applyNumberFormat="1" applyFont="1" applyFill="1" applyBorder="1" applyAlignment="1">
      <x:alignment horizontal="center" vertical="center"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10" borderId="25" xfId="0" applyNumberFormat="1" applyFont="1" applyFill="1" applyBorder="1" applyAlignment="1">
      <x:alignment vertical="top" wrapText="1"/>
    </x:xf>
    <x:xf numFmtId="0" fontId="0" fillId="10" borderId="28" xfId="0" applyNumberFormat="1" applyFont="1" applyFill="1" applyBorder="1" applyAlignment="1">
      <x:alignment vertical="top" wrapText="1"/>
    </x:xf>
    <x:xf numFmtId="0" fontId="0" fillId="10" borderId="31" xfId="0" applyNumberFormat="1" applyFont="1" applyFill="1" applyBorder="1" applyAlignment="1">
      <x:alignment vertical="top" wrapText="1"/>
    </x:xf>
    <x:xf numFmtId="0" fontId="0" fillId="11" borderId="25" xfId="0" applyNumberFormat="1" applyFont="1" applyFill="1" applyBorder="1" applyAlignment="1">
      <x:alignment vertical="top" wrapText="1"/>
    </x:xf>
    <x:xf numFmtId="0" fontId="0" fillId="11" borderId="28" xfId="0" applyNumberFormat="1" applyFont="1" applyFill="1" applyBorder="1" applyAlignment="1">
      <x:alignment vertical="top" wrapText="1"/>
    </x:xf>
    <x:xf numFmtId="0" fontId="0" fillId="11" borderId="31" xfId="0" applyNumberFormat="1" applyFont="1" applyFill="1" applyBorder="1" applyAlignment="1">
      <x:alignment vertical="top" wrapText="1"/>
    </x:xf>
    <x:xf numFmtId="0" fontId="0" fillId="12" borderId="26" xfId="0" applyNumberFormat="1" applyFont="1" applyFill="1" applyBorder="1" applyAlignment="1">
      <x:alignment vertical="top" wrapText="1"/>
    </x:xf>
    <x:xf numFmtId="0" fontId="0" fillId="12" borderId="29" xfId="0" applyNumberFormat="1" applyFont="1" applyFill="1" applyBorder="1" applyAlignment="1">
      <x:alignment vertical="top" wrapText="1"/>
    </x:xf>
    <x:xf numFmtId="0" fontId="0" fillId="12" borderId="32" xfId="0" applyNumberFormat="1" applyFont="1" applyFill="1" applyBorder="1" applyAlignment="1">
      <x:alignment vertical="top" wrapText="1"/>
    </x:xf>
    <x:xf numFmtId="0" fontId="0" fillId="0" borderId="24" xfId="0" applyNumberFormat="1" applyFont="1" applyFill="1" applyBorder="1" applyAlignment="1">
      <x:alignment horizontal="center" vertical="top" wrapText="1"/>
    </x:xf>
    <x:xf numFmtId="0" fontId="0" fillId="0" borderId="25" xfId="0" applyNumberFormat="1" applyFont="1" applyFill="1" applyBorder="1" applyAlignment="1">
      <x:alignment horizontal="center" vertical="top" wrapText="1"/>
    </x:xf>
    <x:xf numFmtId="0" fontId="0" fillId="0" borderId="27" xfId="0" applyNumberFormat="1" applyFont="1" applyFill="1" applyBorder="1" applyAlignment="1">
      <x:alignment horizontal="center" vertical="top" wrapText="1"/>
    </x:xf>
    <x:xf numFmtId="0" fontId="0" fillId="0" borderId="28" xfId="0" applyNumberFormat="1" applyFont="1" applyFill="1" applyBorder="1" applyAlignment="1">
      <x:alignment horizontal="center" vertical="top" wrapText="1"/>
    </x:xf>
    <x:xf numFmtId="0" fontId="0" fillId="0" borderId="30" xfId="0" applyNumberFormat="1" applyFont="1" applyFill="1" applyBorder="1" applyAlignment="1">
      <x:alignment horizontal="center" vertical="top" wrapText="1"/>
    </x:xf>
    <x:xf numFmtId="0" fontId="0" fillId="0" borderId="31" xfId="0" applyNumberFormat="1" applyFont="1" applyFill="1" applyBorder="1" applyAlignment="1">
      <x:alignment horizontal="center" vertical="top" wrapText="1"/>
    </x:xf>
    <x:xf numFmtId="0" fontId="0" fillId="10" borderId="25" xfId="0" applyNumberFormat="1" applyFont="1" applyFill="1" applyBorder="1" applyAlignment="1">
      <x:alignment horizontal="center" vertical="top" wrapText="1"/>
    </x:xf>
    <x:xf numFmtId="0" fontId="0" fillId="11" borderId="25" xfId="0" applyNumberFormat="1" applyFont="1" applyFill="1" applyBorder="1" applyAlignment="1">
      <x:alignment horizontal="center" vertical="top" wrapText="1"/>
    </x:xf>
    <x:xf numFmtId="0" fontId="0" fillId="10" borderId="28" xfId="0" applyNumberFormat="1" applyFont="1" applyFill="1" applyBorder="1" applyAlignment="1">
      <x:alignment horizontal="center" vertical="top" wrapText="1"/>
    </x:xf>
    <x:xf numFmtId="0" fontId="0" fillId="11" borderId="28" xfId="0" applyNumberFormat="1" applyFont="1" applyFill="1" applyBorder="1" applyAlignment="1">
      <x:alignment horizontal="center" vertical="top" wrapText="1"/>
    </x:xf>
    <x:xf numFmtId="0" fontId="0" fillId="10" borderId="31" xfId="0" applyNumberFormat="1" applyFont="1" applyFill="1" applyBorder="1" applyAlignment="1">
      <x:alignment horizontal="center" vertical="top" wrapText="1"/>
    </x:xf>
    <x:xf numFmtId="0" fontId="0" fillId="11" borderId="31" xfId="0" applyNumberFormat="1" applyFont="1" applyFill="1" applyBorder="1" applyAlignment="1">
      <x:alignment horizontal="center" vertical="top" wrapText="1"/>
    </x:xf>
    <x:xf numFmtId="201" fontId="0" fillId="0" borderId="0" xfId="0" applyNumberFormat="1" applyFont="1" applyFill="1" applyBorder="1"/>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201" fontId="0" fillId="0" borderId="25" xfId="0" applyNumberFormat="1" applyFont="1" applyFill="1" applyBorder="1" applyAlignment="1">
      <x:alignment vertical="top" wrapText="1"/>
    </x:xf>
    <x:xf numFmtId="201" fontId="0" fillId="0" borderId="28" xfId="0" applyNumberFormat="1" applyFont="1" applyFill="1" applyBorder="1" applyAlignment="1">
      <x:alignment vertical="top" wrapText="1"/>
    </x:xf>
    <x:xf numFmtId="201" fontId="0" fillId="0" borderId="31" xfId="0" applyNumberFormat="1" applyFont="1" applyFill="1" applyBorder="1" applyAlignment="1">
      <x:alignment vertical="top" wrapText="1"/>
    </x:xf>
    <x:xf numFmtId="201" fontId="0" fillId="10" borderId="25" xfId="0" applyNumberFormat="1" applyFont="1" applyFill="1" applyBorder="1" applyAlignment="1">
      <x:alignment vertical="top" wrapText="1"/>
    </x:xf>
    <x:xf numFmtId="201" fontId="0" fillId="10" borderId="28" xfId="0" applyNumberFormat="1" applyFont="1" applyFill="1" applyBorder="1" applyAlignment="1">
      <x:alignment vertical="top" wrapText="1"/>
    </x:xf>
    <x:xf numFmtId="201" fontId="0" fillId="10" borderId="31" xfId="0" applyNumberFormat="1" applyFont="1" applyFill="1" applyBorder="1" applyAlignment="1">
      <x:alignment vertical="top" wrapText="1"/>
    </x:xf>
    <x:xf numFmtId="0" fontId="5" fillId="8" borderId="0" xfId="0" applyNumberFormat="1" applyFont="1" applyFill="1" applyBorder="1"/>
    <x:xf numFmtId="0" fontId="5" fillId="8" borderId="33" xfId="0" applyNumberFormat="1" applyFont="1" applyFill="1" applyBorder="1"/>
    <x:xf numFmtId="0" fontId="5" fillId="8" borderId="34" xfId="0" applyNumberFormat="1" applyFont="1" applyFill="1" applyBorder="1"/>
    <x:xf numFmtId="0" fontId="5" fillId="8" borderId="35" xfId="0" applyNumberFormat="1" applyFont="1" applyFill="1" applyBorder="1"/>
    <x:xf numFmtId="0" fontId="0" fillId="10" borderId="0" xfId="0" applyNumberFormat="1" applyFont="1" applyFill="1" applyBorder="1"/>
    <x:xf numFmtId="0" fontId="0" fillId="10" borderId="33" xfId="0" applyNumberFormat="1" applyFont="1" applyFill="1" applyBorder="1"/>
    <x:xf numFmtId="0" fontId="0" fillId="10" borderId="34" xfId="0" applyNumberFormat="1" applyFont="1" applyFill="1" applyBorder="1"/>
    <x:xf numFmtId="0" fontId="0" fillId="10" borderId="35" xfId="0" applyNumberFormat="1" applyFont="1" applyFill="1" applyBorder="1"/>
    <x:xf numFmtId="201" fontId="0" fillId="10" borderId="34" xfId="0" applyNumberFormat="1" applyFont="1" applyFill="1" applyBorder="1"/>
    <x:xf numFmtId="201" fontId="0" fillId="10" borderId="35" xfId="0" applyNumberFormat="1" applyFont="1" applyFill="1" applyBorder="1"/>
    <x:xf numFmtId="0" fontId="9" fillId="8" borderId="0" xfId="0" applyNumberFormat="1" applyFont="1" applyFill="1" applyBorder="1"/>
    <x:xf numFmtId="0" fontId="9" fillId="8" borderId="36" xfId="0" applyNumberFormat="1" applyFont="1" applyFill="1" applyBorder="1"/>
    <x:xf numFmtId="0" fontId="9" fillId="8" borderId="37" xfId="0" applyNumberFormat="1" applyFont="1" applyFill="1" applyBorder="1"/>
    <x:xf numFmtId="0" fontId="9" fillId="8" borderId="36" xfId="0" applyNumberFormat="1" applyFont="1" applyFill="1" applyBorder="1" applyAlignment="1">
      <x:alignment wrapText="1"/>
    </x:xf>
    <x:xf numFmtId="0" fontId="9" fillId="8" borderId="37" xfId="0" applyNumberFormat="1" applyFont="1" applyFill="1" applyBorder="1" applyAlignment="1">
      <x:alignment wrapText="1"/>
    </x:xf>
    <x:xf numFmtId="0" fontId="9" fillId="8" borderId="36" xfId="0" applyNumberFormat="1" applyFont="1" applyFill="1" applyBorder="1" applyAlignment="1">
      <x:alignment horizontal="center" wrapText="1"/>
    </x:xf>
    <x:xf numFmtId="0" fontId="9" fillId="8" borderId="37" xfId="0" applyNumberFormat="1" applyFont="1" applyFill="1" applyBorder="1" applyAlignment="1">
      <x:alignment horizontal="center" wrapText="1"/>
    </x:xf>
    <x:xf numFmtId="0" fontId="9" fillId="8" borderId="36" xfId="0" applyNumberFormat="1" applyFont="1" applyFill="1" applyBorder="1" applyAlignment="1">
      <x:alignment horizontal="center" vertical="center" wrapText="1"/>
    </x:xf>
    <x:xf numFmtId="0" fontId="9" fillId="8" borderId="37" xfId="0" applyNumberFormat="1" applyFont="1" applyFill="1" applyBorder="1" applyAlignment="1">
      <x:alignment horizontal="center" vertical="center" wrapText="1"/>
    </x:xf>
    <x:xf numFmtId="0" fontId="0" fillId="11" borderId="0" xfId="0" applyNumberFormat="1" applyFont="1" applyFill="1" applyBorder="1"/>
    <x:xf numFmtId="0" fontId="6" fillId="11" borderId="0" xfId="0" applyNumberFormat="1" applyFont="1" applyFill="1" applyBorder="1"/>
    <x:xf numFmtId="0" fontId="6" fillId="11" borderId="24" xfId="0" applyNumberFormat="1" applyFont="1" applyFill="1" applyBorder="1"/>
    <x:xf numFmtId="0" fontId="6" fillId="11" borderId="26" xfId="0" applyNumberFormat="1" applyFont="1" applyFill="1" applyBorder="1"/>
    <x:xf numFmtId="0" fontId="6" fillId="11" borderId="27" xfId="0" applyNumberFormat="1" applyFont="1" applyFill="1" applyBorder="1"/>
    <x:xf numFmtId="0" fontId="6" fillId="11" borderId="29" xfId="0" applyNumberFormat="1" applyFont="1" applyFill="1" applyBorder="1"/>
    <x:xf numFmtId="0" fontId="6" fillId="11" borderId="30" xfId="0" applyNumberFormat="1" applyFont="1" applyFill="1" applyBorder="1"/>
    <x:xf numFmtId="0" fontId="6" fillId="11" borderId="32" xfId="0" applyNumberFormat="1" applyFont="1" applyFill="1" applyBorder="1"/>
    <x:xf numFmtId="0" fontId="6" fillId="11" borderId="24" xfId="0" applyNumberFormat="1" applyFont="1" applyFill="1" applyBorder="1" applyAlignment="1">
      <x:alignment horizontal="center"/>
    </x:xf>
    <x:xf numFmtId="0" fontId="6" fillId="11" borderId="26" xfId="0" applyNumberFormat="1" applyFont="1" applyFill="1" applyBorder="1" applyAlignment="1">
      <x:alignment horizontal="center"/>
    </x:xf>
    <x:xf numFmtId="0" fontId="6" fillId="11" borderId="27" xfId="0" applyNumberFormat="1" applyFont="1" applyFill="1" applyBorder="1" applyAlignment="1">
      <x:alignment horizontal="center"/>
    </x:xf>
    <x:xf numFmtId="0" fontId="6" fillId="11" borderId="29" xfId="0" applyNumberFormat="1" applyFont="1" applyFill="1" applyBorder="1" applyAlignment="1">
      <x:alignment horizontal="center"/>
    </x:xf>
    <x:xf numFmtId="0" fontId="6" fillId="11" borderId="30" xfId="0" applyNumberFormat="1" applyFont="1" applyFill="1" applyBorder="1" applyAlignment="1">
      <x:alignment horizontal="center"/>
    </x:xf>
    <x:xf numFmtId="0" fontId="6" fillId="11" borderId="32" xfId="0" applyNumberFormat="1" applyFont="1" applyFill="1" applyBorder="1" applyAlignment="1">
      <x:alignment horizontal="center"/>
    </x:xf>
    <x:xf numFmtId="0" fontId="6" fillId="11" borderId="24" xfId="0" applyNumberFormat="1" applyFont="1" applyFill="1" applyBorder="1" applyAlignment="1">
      <x:alignment horizontal="center" vertical="center"/>
    </x:xf>
    <x:xf numFmtId="0" fontId="6" fillId="11" borderId="26" xfId="0" applyNumberFormat="1" applyFont="1" applyFill="1" applyBorder="1" applyAlignment="1">
      <x:alignment horizontal="center" vertical="center"/>
    </x:xf>
    <x:xf numFmtId="0" fontId="6" fillId="11" borderId="27" xfId="0" applyNumberFormat="1" applyFont="1" applyFill="1" applyBorder="1" applyAlignment="1">
      <x:alignment horizontal="center" vertical="center"/>
    </x:xf>
    <x:xf numFmtId="0" fontId="6" fillId="11" borderId="29" xfId="0" applyNumberFormat="1" applyFont="1" applyFill="1" applyBorder="1" applyAlignment="1">
      <x:alignment horizontal="center" vertical="center"/>
    </x:xf>
    <x:xf numFmtId="0" fontId="6" fillId="11" borderId="30" xfId="0" applyNumberFormat="1" applyFont="1" applyFill="1" applyBorder="1" applyAlignment="1">
      <x:alignment horizontal="center" vertical="center"/>
    </x:xf>
    <x:xf numFmtId="0" fontId="6" fillId="11" borderId="32" xfId="0" applyNumberFormat="1" applyFont="1" applyFill="1" applyBorder="1" applyAlignment="1">
      <x:alignment horizontal="center" vertical="center"/>
    </x:xf>
    <x:xf numFmtId="200" fontId="6" fillId="11" borderId="24" xfId="0" applyNumberFormat="1" applyFont="1" applyFill="1" applyBorder="1" applyAlignment="1">
      <x:alignment horizontal="center" vertical="center"/>
    </x:xf>
    <x:xf numFmtId="200" fontId="6" fillId="11" borderId="26" xfId="0" applyNumberFormat="1" applyFont="1" applyFill="1" applyBorder="1" applyAlignment="1">
      <x:alignment horizontal="center" vertical="center"/>
    </x:xf>
    <x:xf numFmtId="200" fontId="6" fillId="11" borderId="27" xfId="0" applyNumberFormat="1" applyFont="1" applyFill="1" applyBorder="1" applyAlignment="1">
      <x:alignment horizontal="center" vertical="center"/>
    </x:xf>
    <x:xf numFmtId="200" fontId="6" fillId="11" borderId="29" xfId="0" applyNumberFormat="1" applyFont="1" applyFill="1" applyBorder="1" applyAlignment="1">
      <x:alignment horizontal="center" vertical="center"/>
    </x:xf>
    <x:xf numFmtId="200" fontId="6" fillId="11" borderId="30" xfId="0" applyNumberFormat="1" applyFont="1" applyFill="1" applyBorder="1" applyAlignment="1">
      <x:alignment horizontal="center" vertical="center"/>
    </x:xf>
    <x:xf numFmtId="200" fontId="6" fillId="11" borderId="32" xfId="0" applyNumberFormat="1" applyFont="1" applyFill="1" applyBorder="1" applyAlignment="1">
      <x:alignment horizontal="center" vertical="center"/>
    </x:xf>
    <x:xf numFmtId="200" fontId="0" fillId="0" borderId="25" xfId="0" applyNumberFormat="1" applyFont="1" applyFill="1" applyBorder="1" applyAlignment="1">
      <x:alignment vertical="top" wrapText="1"/>
    </x:xf>
    <x:xf numFmtId="200" fontId="0" fillId="0" borderId="28" xfId="0" applyNumberFormat="1" applyFont="1" applyFill="1" applyBorder="1" applyAlignment="1">
      <x:alignment vertical="top" wrapText="1"/>
    </x:xf>
    <x:xf numFmtId="200" fontId="0" fillId="0" borderId="31" xfId="0" applyNumberFormat="1" applyFont="1" applyFill="1" applyBorder="1" applyAlignment="1">
      <x:alignment vertical="top" wrapText="1"/>
    </x:xf>
    <x:xf numFmtId="200" fontId="0" fillId="0" borderId="25" xfId="0" applyNumberFormat="1" applyFont="1" applyFill="1" applyBorder="1" applyAlignment="1">
      <x:alignment horizontal="center" vertical="top" wrapText="1"/>
    </x:xf>
    <x:xf numFmtId="200" fontId="0" fillId="0" borderId="28" xfId="0" applyNumberFormat="1" applyFont="1" applyFill="1" applyBorder="1" applyAlignment="1">
      <x:alignment horizontal="center" vertical="top" wrapText="1"/>
    </x:xf>
    <x:xf numFmtId="200" fontId="0" fillId="0" borderId="31" xfId="0" applyNumberFormat="1" applyFont="1" applyFill="1" applyBorder="1" applyAlignment="1">
      <x:alignment horizontal="center" vertical="top" wrapText="1"/>
    </x:xf>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2" xfId="0" applyNumberFormat="1" applyFont="1" applyFill="1" applyBorder="1" applyAlignment="1">
      <x:alignment wrapText="1"/>
    </x:xf>
    <x:xf numFmtId="0" fontId="5" fillId="8" borderId="38" xfId="0" applyNumberFormat="1" applyFont="1" applyFill="1" applyBorder="1"/>
    <x:xf numFmtId="0" fontId="5" fillId="8" borderId="38" xfId="0" applyNumberFormat="1" applyFont="1" applyFill="1" applyBorder="1" applyAlignment="1">
      <x:alignment wrapText="1"/>
    </x:xf>
    <x:xf numFmtId="0" fontId="7" fillId="10" borderId="0" xfId="0" applyNumberFormat="1" applyFont="1" applyFill="1" applyBorder="1"/>
    <x:xf numFmtId="0" fontId="7" fillId="10" borderId="24" xfId="0" applyNumberFormat="1" applyFont="1" applyFill="1" applyBorder="1"/>
    <x:xf numFmtId="0" fontId="7" fillId="10" borderId="25" xfId="0" applyNumberFormat="1" applyFont="1" applyFill="1" applyBorder="1"/>
    <x:xf numFmtId="0" fontId="7" fillId="10" borderId="26" xfId="0" applyNumberFormat="1" applyFont="1" applyFill="1" applyBorder="1"/>
    <x:xf numFmtId="0" fontId="7" fillId="10" borderId="27" xfId="0" applyNumberFormat="1" applyFont="1" applyFill="1" applyBorder="1"/>
    <x:xf numFmtId="0" fontId="7" fillId="10" borderId="28" xfId="0" applyNumberFormat="1" applyFont="1" applyFill="1" applyBorder="1"/>
    <x:xf numFmtId="0" fontId="7" fillId="10" borderId="29" xfId="0" applyNumberFormat="1" applyFont="1" applyFill="1" applyBorder="1"/>
    <x:xf numFmtId="0" fontId="7" fillId="10" borderId="30" xfId="0" applyNumberFormat="1" applyFont="1" applyFill="1" applyBorder="1"/>
    <x:xf numFmtId="0" fontId="7" fillId="10" borderId="31" xfId="0" applyNumberFormat="1" applyFont="1" applyFill="1" applyBorder="1"/>
    <x:xf numFmtId="0" fontId="7" fillId="10" borderId="32" xfId="0" applyNumberFormat="1" applyFont="1" applyFill="1" applyBorder="1"/>
    <x:xf numFmtId="0" fontId="7" fillId="10" borderId="24" xfId="0" applyNumberFormat="1" applyFont="1" applyFill="1" applyBorder="1" applyAlignment="1">
      <x:alignment wrapText="1"/>
    </x:xf>
    <x:xf numFmtId="0" fontId="7" fillId="10" borderId="25" xfId="0" applyNumberFormat="1" applyFont="1" applyFill="1" applyBorder="1" applyAlignment="1">
      <x:alignment wrapText="1"/>
    </x:xf>
    <x:xf numFmtId="0" fontId="7" fillId="10" borderId="26" xfId="0" applyNumberFormat="1" applyFont="1" applyFill="1" applyBorder="1" applyAlignment="1">
      <x:alignment wrapText="1"/>
    </x:xf>
    <x:xf numFmtId="0" fontId="7" fillId="10" borderId="27" xfId="0" applyNumberFormat="1" applyFont="1" applyFill="1" applyBorder="1" applyAlignment="1">
      <x:alignment wrapText="1"/>
    </x:xf>
    <x:xf numFmtId="0" fontId="7" fillId="10" borderId="28" xfId="0" applyNumberFormat="1" applyFont="1" applyFill="1" applyBorder="1" applyAlignment="1">
      <x:alignment wrapText="1"/>
    </x:xf>
    <x:xf numFmtId="0" fontId="7" fillId="10" borderId="29" xfId="0" applyNumberFormat="1" applyFont="1" applyFill="1" applyBorder="1" applyAlignment="1">
      <x:alignment wrapText="1"/>
    </x:xf>
    <x:xf numFmtId="0" fontId="7" fillId="10" borderId="30" xfId="0" applyNumberFormat="1" applyFont="1" applyFill="1" applyBorder="1" applyAlignment="1">
      <x:alignment wrapText="1"/>
    </x:xf>
    <x:xf numFmtId="0" fontId="7" fillId="10" borderId="31" xfId="0" applyNumberFormat="1" applyFont="1" applyFill="1" applyBorder="1" applyAlignment="1">
      <x:alignment wrapText="1"/>
    </x:xf>
    <x:xf numFmtId="0" fontId="7" fillId="10" borderId="32" xfId="0" applyNumberFormat="1" applyFont="1" applyFill="1" applyBorder="1" applyAlignment="1">
      <x:alignment wrapText="1"/>
    </x:xf>
    <x:xf numFmtId="0" fontId="7" fillId="10" borderId="24" xfId="0" applyNumberFormat="1" applyFont="1" applyFill="1" applyBorder="1" applyAlignment="1">
      <x:alignment horizontal="center" wrapText="1"/>
    </x:xf>
    <x:xf numFmtId="0" fontId="7" fillId="10" borderId="25" xfId="0" applyNumberFormat="1" applyFont="1" applyFill="1" applyBorder="1" applyAlignment="1">
      <x:alignment horizontal="center" wrapText="1"/>
    </x:xf>
    <x:xf numFmtId="0" fontId="7" fillId="10" borderId="26" xfId="0" applyNumberFormat="1" applyFont="1" applyFill="1" applyBorder="1" applyAlignment="1">
      <x:alignment horizontal="center" wrapText="1"/>
    </x:xf>
    <x:xf numFmtId="0" fontId="7" fillId="10" borderId="27" xfId="0" applyNumberFormat="1" applyFont="1" applyFill="1" applyBorder="1" applyAlignment="1">
      <x:alignment horizontal="center" wrapText="1"/>
    </x:xf>
    <x:xf numFmtId="0" fontId="7" fillId="10" borderId="28" xfId="0" applyNumberFormat="1" applyFont="1" applyFill="1" applyBorder="1" applyAlignment="1">
      <x:alignment horizontal="center" wrapText="1"/>
    </x:xf>
    <x:xf numFmtId="0" fontId="7" fillId="10" borderId="29" xfId="0" applyNumberFormat="1" applyFont="1" applyFill="1" applyBorder="1" applyAlignment="1">
      <x:alignment horizontal="center" wrapText="1"/>
    </x:xf>
    <x:xf numFmtId="0" fontId="7" fillId="10" borderId="30" xfId="0" applyNumberFormat="1" applyFont="1" applyFill="1" applyBorder="1" applyAlignment="1">
      <x:alignment horizontal="center" wrapText="1"/>
    </x:xf>
    <x:xf numFmtId="0" fontId="7" fillId="10" borderId="31" xfId="0" applyNumberFormat="1" applyFont="1" applyFill="1" applyBorder="1" applyAlignment="1">
      <x:alignment horizontal="center" wrapText="1"/>
    </x:xf>
    <x:xf numFmtId="0" fontId="7" fillId="10" borderId="32" xfId="0" applyNumberFormat="1" applyFont="1" applyFill="1" applyBorder="1" applyAlignment="1">
      <x:alignment horizontal="center" wrapText="1"/>
    </x:xf>
    <x:xf numFmtId="0" fontId="7" fillId="10" borderId="24" xfId="0" applyNumberFormat="1" applyFont="1" applyFill="1" applyBorder="1" applyAlignment="1">
      <x:alignment horizontal="center" vertical="center" wrapText="1"/>
    </x:xf>
    <x:xf numFmtId="0" fontId="7" fillId="10" borderId="25" xfId="0" applyNumberFormat="1" applyFont="1" applyFill="1" applyBorder="1" applyAlignment="1">
      <x:alignment horizontal="center" vertical="center" wrapText="1"/>
    </x:xf>
    <x:xf numFmtId="0" fontId="7" fillId="10" borderId="26" xfId="0" applyNumberFormat="1" applyFont="1" applyFill="1" applyBorder="1" applyAlignment="1">
      <x:alignment horizontal="center" vertical="center" wrapText="1"/>
    </x:xf>
    <x:xf numFmtId="0" fontId="7" fillId="10" borderId="27" xfId="0" applyNumberFormat="1" applyFont="1" applyFill="1" applyBorder="1" applyAlignment="1">
      <x:alignment horizontal="center" vertical="center" wrapText="1"/>
    </x:xf>
    <x:xf numFmtId="0" fontId="7" fillId="10" borderId="28" xfId="0" applyNumberFormat="1" applyFont="1" applyFill="1" applyBorder="1" applyAlignment="1">
      <x:alignment horizontal="center" vertical="center" wrapText="1"/>
    </x:xf>
    <x:xf numFmtId="0" fontId="7" fillId="10" borderId="29" xfId="0" applyNumberFormat="1" applyFont="1" applyFill="1" applyBorder="1" applyAlignment="1">
      <x:alignment horizontal="center" vertical="center" wrapText="1"/>
    </x:xf>
    <x:xf numFmtId="0" fontId="7" fillId="10" borderId="30" xfId="0" applyNumberFormat="1" applyFont="1" applyFill="1" applyBorder="1" applyAlignment="1">
      <x:alignment horizontal="center" vertical="center" wrapText="1"/>
    </x:xf>
    <x:xf numFmtId="0" fontId="7" fillId="10" borderId="31" xfId="0" applyNumberFormat="1" applyFont="1" applyFill="1" applyBorder="1" applyAlignment="1">
      <x:alignment horizontal="center" vertical="center" wrapText="1"/>
    </x:xf>
    <x:xf numFmtId="0" fontId="7" fillId="10" borderId="32" xfId="0" applyNumberFormat="1" applyFont="1" applyFill="1" applyBorder="1" applyAlignment="1">
      <x:alignment horizontal="center" vertical="center" wrapText="1"/>
    </x:xf>
  </x:cellXfs>
  <x:cellStyles count="1">
    <x:cellStyle name="Normal" xfId="0"/>
  </x:cellStyles>
  <x:dxfs count="18">
    <x:dxf>
      <x:font>
        <x:b/>
        <x:color rgb="9C0006"/>
      </x:font>
      <x:fill>
        <x:patternFill>
          <x:bgColor rgb="FCE4D6"/>
        </x:patternFill>
      </x:fill>
    </x:dxf>
    <x:dxf>
      <x:font>
        <x:b/>
        <x:color rgb="9C6500"/>
      </x:font>
      <x:fill>
        <x:patternFill>
          <x:bgColor rgb="FFF2CC"/>
        </x:patternFill>
      </x:fill>
    </x:dxf>
    <x:dxf>
      <x:font>
        <x:b/>
        <x:color rgb="006100"/>
      </x:font>
      <x:fill>
        <x:patternFill>
          <x:bgColor rgb="E2F0D9"/>
        </x:patternFill>
      </x:fill>
    </x:dxf>
    <x:dxf>
      <x:fill>
        <x:patternFill>
          <x:bgColor rgb="EAF3F8"/>
        </x:patternFill>
      </x:fill>
    </x:dxf>
    <x:dxf>
      <x:fill>
        <x:patternFill>
          <x:bgColor rgb="D9EAF7"/>
        </x:patternFill>
      </x:fill>
    </x:dxf>
    <x:dxf>
      <x:fill>
        <x:patternFill>
          <x:bgColor rgb="FFF2CC"/>
        </x:patternFill>
      </x:fill>
    </x:dxf>
    <x:dxf>
      <x:font>
        <x:b/>
      </x:font>
      <x:fill>
        <x:patternFill>
          <x:bgColor rgb="E4DFEC"/>
        </x:patternFill>
      </x:fill>
    </x:dxf>
    <x:dxf>
      <x:font>
        <x:b/>
        <x:color rgb="006100"/>
      </x:font>
      <x:fill>
        <x:patternFill>
          <x:bgColor rgb="E2F0D9"/>
        </x:patternFill>
      </x:fill>
    </x:dxf>
    <x:dxf>
      <x:font>
        <x:b/>
        <x:color rgb="9C0006"/>
      </x:font>
      <x:fill>
        <x:patternFill>
          <x:bgColor rgb="FCE4D6"/>
        </x:patternFill>
      </x:fill>
    </x:dxf>
    <x:dxf>
      <x:font>
        <x:b/>
        <x:color rgb="006100"/>
      </x:font>
      <x:fill>
        <x:patternFill patternType="solid">
          <x:bgColor rgb="E2F0D9"/>
        </x:patternFill>
      </x:fill>
    </x:dxf>
    <x:dxf>
      <x:font>
        <x:b/>
        <x:color rgb="9C0006"/>
      </x:font>
      <x:fill>
        <x:patternFill patternType="solid">
          <x:bgColor rgb="FCE4D6"/>
        </x:patternFill>
      </x:fill>
    </x:dxf>
    <x:dxf>
      <x:font>
        <x:b/>
        <x:color rgb="9C0006"/>
      </x:font>
      <x:fill>
        <x:patternFill patternType="solid">
          <x:bgColor rgb="FCE4D6"/>
        </x:patternFill>
      </x:fill>
    </x:dxf>
    <x:dxf>
      <x:font>
        <x:b/>
        <x:color rgb="006100"/>
      </x:font>
      <x:fill>
        <x:patternFill patternType="solid">
          <x:bgColor rgb="E2F0D9"/>
        </x:patternFill>
      </x:fill>
    </x:dxf>
    <x:dxf>
      <x:font>
        <x:b/>
        <x:color rgb="006100"/>
      </x:font>
      <x:fill>
        <x:patternFill patternType="solid">
          <x:bgColor rgb="E2F0D9"/>
        </x:patternFill>
      </x:fill>
    </x:dxf>
    <x:dxf>
      <x:font>
        <x:b/>
        <x:color rgb="9C0006"/>
      </x:font>
      <x:fill>
        <x:patternFill patternType="solid">
          <x:bgColor rgb="FCE4D6"/>
        </x:patternFill>
      </x:fill>
    </x:dxf>
    <x:dxf>
      <x:font>
        <x:b/>
      </x:font>
      <x:fill>
        <x:patternFill patternType="solid">
          <x:bgColor rgb="E4DFEC"/>
        </x:patternFill>
      </x:fill>
    </x:dxf>
    <x:dxf>
      <x:font>
        <x:b/>
        <x:color rgb="006100"/>
      </x:font>
      <x:fill>
        <x:patternFill patternType="solid">
          <x:bgColor rgb="E2F0D9"/>
        </x:patternFill>
      </x:fill>
    </x:dxf>
    <x:dxf>
      <x:font>
        <x:b/>
        <x:color rgb="9C0006"/>
      </x:font>
      <x:fill>
        <x:patternFill patternType="solid">
          <x:bgColor rgb="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44b249925349ba" /><Relationship Type="http://schemas.openxmlformats.org/officeDocument/2006/relationships/theme" Target="/xl/theme/theme1.xml" Id="Rc06f5a609e2f4c68" /><Relationship Type="http://schemas.openxmlformats.org/officeDocument/2006/relationships/sharedStrings" Target="/xl/sharedStrings.xml" Id="R42cd2678b1ff44f2" /><Relationship Type="http://schemas.openxmlformats.org/officeDocument/2006/relationships/worksheet" Target="/xl/worksheets/sheet1.xml" Id="R8d50717623c44d9c" /><Relationship Type="http://schemas.openxmlformats.org/officeDocument/2006/relationships/worksheet" Target="/xl/worksheets/sheet2.xml" Id="Rce6bb516a01544cc" /><Relationship Type="http://schemas.openxmlformats.org/officeDocument/2006/relationships/worksheet" Target="/xl/worksheets/sheet3.xml" Id="Re3672b4a61b34574" /><Relationship Type="http://schemas.openxmlformats.org/officeDocument/2006/relationships/worksheet" Target="/xl/worksheets/sheet4.xml" Id="Rba10ee89fe2f4a65" /><Relationship Type="http://schemas.openxmlformats.org/officeDocument/2006/relationships/worksheet" Target="/xl/worksheets/sheet5.xml" Id="R713f1fae451e41ca" /><Relationship Type="http://schemas.openxmlformats.org/officeDocument/2006/relationships/worksheet" Target="/xl/worksheets/sheet6.xml" Id="R64b42e94f7b7419d" /><Relationship Type="http://schemas.openxmlformats.org/officeDocument/2006/relationships/worksheet" Target="/xl/worksheets/sheet7.xml" Id="Rc4fd837b604b43c1" /><Relationship Type="http://schemas.openxmlformats.org/officeDocument/2006/relationships/worksheet" Target="/xl/worksheets/sheet8.xml" Id="Rc6b01c2513754b42" /><Relationship Type="http://schemas.openxmlformats.org/officeDocument/2006/relationships/worksheet" Target="/xl/worksheets/sheet9.xml" Id="Rb9c1d691ca8c44f8" /><Relationship Type="http://schemas.openxmlformats.org/officeDocument/2006/relationships/worksheet" Target="/xl/worksheets/sheet10.xml" Id="R6e311e5f08b148b2" /><Relationship Type="http://schemas.openxmlformats.org/officeDocument/2006/relationships/worksheet" Target="/xl/worksheets/sheet11.xml" Id="Rb754a56b040f472e" /></Relationships>
</file>

<file path=xl/drawings/_rels/drawing1.xml.rels>&#65279;<?xml version="1.0" encoding="utf-8"?><Relationships xmlns="http://schemas.openxmlformats.org/package/2006/relationships"><Relationship Type="http://schemas.openxmlformats.org/officeDocument/2006/relationships/chart" Target="/xl/drawings/charts/chart1.xml" Id="R9cd62f4537c14d17" /></Relationships>
</file>

<file path=xl/drawings/_rels/drawing2.xml.rels>&#65279;<?xml version="1.0" encoding="utf-8"?><Relationships xmlns="http://schemas.openxmlformats.org/package/2006/relationships"><Relationship Type="http://schemas.openxmlformats.org/officeDocument/2006/relationships/chart" Target="/xl/drawings/charts/chart2.xml" Id="R2d906c3d3efa4bd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Topics by Learning Layer</a:t>
            </a:r>
          </a:p>
        </c:rich>
      </c:tx>
      <c:overlay val="0"/>
    </c:title>
    <c:autoTitleDeleted val="0"/>
    <c:plotArea>
      <c:layout/>
      <c:barChart>
        <c:barDir val="bar"/>
        <c:varyColors val="0"/>
        <c:ser>
          <c:idx val="0"/>
          <c:order val="0"/>
          <c:tx>
            <c:v>Topic Count</c:v>
          </c:tx>
          <c:cat>
            <c:strRef>
              <c:f>'Summary'!$B$11:$B$21</c:f>
              <c:strCache>
                <c:ptCount val="0"/>
              </c:strCache>
            </c:strRef>
          </c:cat>
          <c:val>
            <c:numRef>
              <c:f>'Summary'!$C$11:$C$21</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Diagnostic Score by Learning Layer</a:t>
            </a:r>
          </a:p>
        </c:rich>
      </c:tx>
      <c:overlay val="0"/>
    </c:title>
    <c:autoTitleDeleted val="0"/>
    <c:plotArea>
      <c:layout/>
      <c:barChart>
        <c:barDir val="bar"/>
        <c:varyColors val="0"/>
        <c:ser>
          <c:idx val="0"/>
          <c:order val="0"/>
          <c:tx>
            <c:v>Score %</c:v>
          </c:tx>
          <c:cat>
            <c:strRef>
              <c:f>'Diagnostic Summary'!$J$24:$J$33</c:f>
              <c:strCache>
                <c:ptCount val="0"/>
              </c:strCache>
            </c:strRef>
          </c:cat>
          <c:val>
            <c:numRef>
              <c:f>'Diagnostic Summary'!$K$24:$K$33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23</xdr:row>
      <xdr:rowOff>0</xdr:rowOff>
    </xdr:from>
    <xdr:to>
      <xdr:col>13</xdr:col>
      <xdr:colOff>0</xdr:colOff>
      <xdr:row>46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cd62f4537c14d17"/>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23</xdr:row>
      <xdr:rowOff>0</xdr:rowOff>
    </xdr:from>
    <xdr:to>
      <xdr:col>8</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906c3d3efa4bd7"/>
        </a:graphicData>
      </a:graphic>
    </xdr:graphicFrame>
    <xdr:clientData/>
  </xdr:twoCellAnchor>
</xdr:wsDr>
</file>

<file path=xl/tables/table1.xml><?xml version="1.0" encoding="utf-8"?>
<x:table xmlns:x="http://schemas.openxmlformats.org/spreadsheetml/2006/main" id="1" name="CurriculumMatrixTable" displayName="CurriculumMatrixTable" ref="A5:P138" headerRowCount="1">
  <x:tableColumns count="16">
    <x:tableColumn id="1" name="Index"/>
    <x:tableColumn id="2" name="Topic Name"/>
    <x:tableColumn id="3" name="Phase"/>
    <x:tableColumn id="4" name="Learning Layer"/>
    <x:tableColumn id="5" name="Syllabus Relationship"/>
    <x:tableColumn id="6" name="AIP-C01 Skill IDs"/>
    <x:tableColumn id="7" name="Official Task(s)"/>
    <x:tableColumn id="8" name="Hard Prerequisite Topic IDs"/>
    <x:tableColumn id="9" name="Soft Prerequisite Topic IDs"/>
    <x:tableColumn id="10" name="Dependency Type"/>
    <x:tableColumn id="11" name="Minimum Proficiency"/>
    <x:tableColumn id="12" name="Mastery Gate"/>
    <x:tableColumn id="13" name="Assessment Method"/>
    <x:tableColumn id="14" name="Knowledge Type"/>
    <x:tableColumn id="15" name="Teaching Method"/>
    <x:tableColumn id="16" name="Primary Source URL"/>
  </x:tableColumns>
  <x:tableStyleInfo name="TableStyleMedium2" showRowStripes="1"/>
</x:table>
</file>

<file path=xl/tables/table2.xml><?xml version="1.0" encoding="utf-8"?>
<x:table xmlns:x="http://schemas.openxmlformats.org/spreadsheetml/2006/main" id="2" name="OfficialSkillCoverageTable" displayName="OfficialSkillCoverageTable" ref="A4:G102" headerRowCount="1">
  <x:tableColumns count="7">
    <x:tableColumn id="1" name="Skill ID"/>
    <x:tableColumn id="2" name="Task ID"/>
    <x:tableColumn id="3" name="Task Name"/>
    <x:tableColumn id="4" name="Skill Summary"/>
    <x:tableColumn id="5" name="Topic Count"/>
    <x:tableColumn id="6" name="Coverage Status"/>
    <x:tableColumn id="7" name="Source URL"/>
  </x:tableColumns>
  <x:tableStyleInfo name="TableStyleMedium2" showRowStripes="1"/>
</x:table>
</file>

<file path=xl/tables/table3.xml><?xml version="1.0" encoding="utf-8"?>
<x:table xmlns:x="http://schemas.openxmlformats.org/spreadsheetml/2006/main" id="3" name="ResearchSourcesTable" displayName="ResearchSourcesTable" ref="A4:D15" headerRowCount="1">
  <x:tableColumns count="4">
    <x:tableColumn id="1" name="Source"/>
    <x:tableColumn id="2" name="Purpose"/>
    <x:tableColumn id="3" name="URL / Location"/>
    <x:tableColumn id="4" name="Verified Date"/>
  </x:tableColumns>
  <x:tableStyleInfo name="TableStyleMedium2" showRowStripes="1"/>
</x:table>
</file>

<file path=xl/tables/table4.xml><?xml version="1.0" encoding="utf-8"?>
<x:table xmlns:x="http://schemas.openxmlformats.org/spreadsheetml/2006/main" id="4" name="SkillTopicMapTable" displayName="SkillTopicMapTable" ref="A4:C230" headerRowCount="1">
  <x:tableColumns count="3">
    <x:tableColumn id="1" name="Skill ID"/>
    <x:tableColumn id="2" name="Topic Index"/>
    <x:tableColumn id="3" name="Topic Name"/>
  </x:tableColumns>
  <x:tableStyleInfo name="TableStyleMedium2" showRowStripes="1"/>
</x:table>
</file>

<file path=xl/tables/table5.xml><?xml version="1.0" encoding="utf-8"?>
<x:table xmlns:x="http://schemas.openxmlformats.org/spreadsheetml/2006/main" id="5" name="InitialDiagnosticTable" displayName="InitialDiagnosticTable" ref="A5:S65" headerRowCount="1">
  <x:tableColumns count="19">
    <x:tableColumn id="1" name="Question ID"/>
    <x:tableColumn id="2" name="Phase"/>
    <x:tableColumn id="3" name="Learning Layer"/>
    <x:tableColumn id="4" name="Primary Topic Index"/>
    <x:tableColumn id="5" name="Topic / Capability"/>
    <x:tableColumn id="6" name="Question Type"/>
    <x:tableColumn id="7" name="Question"/>
    <x:tableColumn id="8" name="Options / Expected Format"/>
    <x:tableColumn id="9" name="Learner Response"/>
    <x:tableColumn id="10" name="Confidence (1–5)"/>
    <x:tableColumn id="11" name="Auto Score"/>
    <x:tableColumn id="12" name="Assessor Score"/>
    <x:tableColumn id="13" name="Final Score"/>
    <x:tableColumn id="14" name="Max Score"/>
    <x:tableColumn id="15" name="Pass Threshold"/>
    <x:tableColumn id="16" name="Result"/>
    <x:tableColumn id="17" name="Gap Type"/>
    <x:tableColumn id="18" name="Remediation if Gap"/>
    <x:tableColumn id="19" name="Start Candidate"/>
  </x:tableColumns>
  <x:tableStyleInfo name="TableStyleMedium2" showRowStripes="1"/>
</x:table>
</file>

<file path=xl/tables/table6.xml><?xml version="1.0" encoding="utf-8"?>
<x:table xmlns:x="http://schemas.openxmlformats.org/spreadsheetml/2006/main" id="6" name="DiagnosticAnswerKeyTable" displayName="DiagnosticAnswerKeyTable" ref="A5:J65" headerRowCount="1">
  <x:tableColumns count="10">
    <x:tableColumn id="1" name="Question ID"/>
    <x:tableColumn id="2" name="Phase"/>
    <x:tableColumn id="3" name="Question Type"/>
    <x:tableColumn id="4" name="Correct Option"/>
    <x:tableColumn id="5" name="Expected Answer / Rationale"/>
    <x:tableColumn id="6" name="Scoring Rubric"/>
    <x:tableColumn id="7" name="Max Score"/>
    <x:tableColumn id="8" name="Pass Threshold"/>
    <x:tableColumn id="9" name="Gap Type"/>
    <x:tableColumn id="10" name="Recommended Remediation"/>
  </x:tableColumns>
  <x:tableStyleInfo name="TableStyleMedium2" showRowStripes="1"/>
</x:table>
</file>

<file path=xl/tables/table7.xml><?xml version="1.0" encoding="utf-8"?>
<x:table xmlns:x="http://schemas.openxmlformats.org/spreadsheetml/2006/main" id="7" name="LearnerProgressTable" displayName="LearnerProgressTable" ref="A5:S138" headerRowCount="1">
  <x:tableColumns count="19">
    <x:tableColumn id="1" name="Topic Index"/>
    <x:tableColumn id="2" name="Topic Name"/>
    <x:tableColumn id="3" name="Phase"/>
    <x:tableColumn id="4" name="Learning Layer"/>
    <x:tableColumn id="5" name="Hard Prerequisites"/>
    <x:tableColumn id="6" name="Required Proficiency"/>
    <x:tableColumn id="7" name="Mastery Gate"/>
    <x:tableColumn id="8" name="Diagnostic Status"/>
    <x:tableColumn id="9" name="Current Proficiency"/>
    <x:tableColumn id="10" name="Learning Status"/>
    <x:tableColumn id="11" name="Last Assessment Score"/>
    <x:tableColumn id="12" name="Confidence"/>
    <x:tableColumn id="13" name="Gap Type"/>
    <x:tableColumn id="14" name="Remediation / Next Activity"/>
    <x:tableColumn id="15" name="Gate Passed"/>
    <x:tableColumn id="16" name="Next Review Date"/>
    <x:tableColumn id="17" name="Evidence / Notes"/>
    <x:tableColumn id="18" name="Blocked Indicator"/>
    <x:tableColumn id="19" name="Next 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51fb1b9a53e467e" /></Relationships>
</file>

<file path=xl/worksheets/_rels/sheet2.xml.rels>&#65279;<?xml version="1.0" encoding="utf-8"?><Relationships xmlns="http://schemas.openxmlformats.org/package/2006/relationships"><Relationship Type="http://schemas.openxmlformats.org/officeDocument/2006/relationships/table" Target="/xl/tables/table2.xml" Id="Rd70e7599c3f341fc" /></Relationships>
</file>

<file path=xl/worksheets/_rels/sheet3.xml.rels>&#65279;<?xml version="1.0" encoding="utf-8"?><Relationships xmlns="http://schemas.openxmlformats.org/package/2006/relationships"><Relationship Type="http://schemas.openxmlformats.org/officeDocument/2006/relationships/drawing" Target="/xl/drawings/drawing1.xml" Id="Ra57516bc00494340" /></Relationships>
</file>

<file path=xl/worksheets/_rels/sheet5.xml.rels>&#65279;<?xml version="1.0" encoding="utf-8"?><Relationships xmlns="http://schemas.openxmlformats.org/package/2006/relationships"><Relationship Type="http://schemas.openxmlformats.org/officeDocument/2006/relationships/table" Target="/xl/tables/table3.xml" Id="Ra60e2e274b3d42f4" /></Relationships>
</file>

<file path=xl/worksheets/_rels/sheet6.xml.rels>&#65279;<?xml version="1.0" encoding="utf-8"?><Relationships xmlns="http://schemas.openxmlformats.org/package/2006/relationships"><Relationship Type="http://schemas.openxmlformats.org/officeDocument/2006/relationships/table" Target="/xl/tables/table4.xml" Id="Ra3702a1295f945ac" /></Relationships>
</file>

<file path=xl/worksheets/_rels/sheet7.xml.rels>&#65279;<?xml version="1.0" encoding="utf-8"?><Relationships xmlns="http://schemas.openxmlformats.org/package/2006/relationships"><Relationship Type="http://schemas.openxmlformats.org/officeDocument/2006/relationships/table" Target="/xl/tables/table5.xml" Id="Ra1160ee90cb54ead" /></Relationships>
</file>

<file path=xl/worksheets/_rels/sheet8.xml.rels>&#65279;<?xml version="1.0" encoding="utf-8"?><Relationships xmlns="http://schemas.openxmlformats.org/package/2006/relationships"><Relationship Type="http://schemas.openxmlformats.org/officeDocument/2006/relationships/table" Target="/xl/tables/table6.xml" Id="R33d0d30b853e4293" /></Relationships>
</file>

<file path=xl/worksheets/_rels/sheet9.xml.rels>&#65279;<?xml version="1.0" encoding="utf-8"?><Relationships xmlns="http://schemas.openxmlformats.org/package/2006/relationships"><Relationship Type="http://schemas.openxmlformats.org/officeDocument/2006/relationships/table" Target="/xl/tables/table7.xml" Id="Raab4a0e95e634e37" /></Relationships>
</file>

<file path=xl/worksheets/_rels/sheet10.xml.rels>&#65279;<?xml version="1.0" encoding="utf-8"?><Relationships xmlns="http://schemas.openxmlformats.org/package/2006/relationships"><Relationship Type="http://schemas.openxmlformats.org/officeDocument/2006/relationships/drawing" Target="/xl/drawings/drawing2.xml" Id="R23f25aa4fcf34903" /></Relationships>
</file>

<file path=xl/worksheets/sheet1.xml><?xml version="1.0" encoding="utf-8"?>
<x:worksheet xmlns:x="http://schemas.openxmlformats.org/spreadsheetml/2006/main">
  <x:sheetFormatPr defaultRowHeight="15"/>
  <x:cols>
    <x:col min="1" max="1" width="8" hidden="0" customWidth="1"/>
    <x:col min="2" max="2" width="44" hidden="0" customWidth="1"/>
    <x:col min="3" max="3" width="8" hidden="0" customWidth="1"/>
    <x:col min="4" max="4" width="38" hidden="0" customWidth="1"/>
    <x:col min="5" max="5" width="24" hidden="0" customWidth="1"/>
    <x:col min="6" max="6" width="25" hidden="0" customWidth="1"/>
    <x:col min="7" max="7" width="44" hidden="0" customWidth="1"/>
    <x:col min="8" max="8" width="23" hidden="0" customWidth="1"/>
    <x:col min="9" max="9" width="23" hidden="0" customWidth="1"/>
    <x:col min="10" max="10" width="15" hidden="0" customWidth="1"/>
    <x:col min="11" max="11" width="23" hidden="0" customWidth="1"/>
    <x:col min="12" max="12" width="14" hidden="0" customWidth="1"/>
    <x:col min="13" max="13" width="48" hidden="0" customWidth="1"/>
    <x:col min="14" max="14" width="33" hidden="0" customWidth="1"/>
    <x:col min="15" max="15" width="48" hidden="0" customWidth="1"/>
    <x:col min="16" max="16" width="45" hidden="0" customWidth="1"/>
  </x:cols>
  <x:sheetData>
    <x:row r="1" ht="28" customHeight="1">
      <x:c r="A1" s="5" t="str">
        <x:v>AIP-C01 Curriculum Dependency and Mastery Matrix</x:v>
      </x:c>
      <x:c r="B1" s="5"/>
      <x:c r="C1" s="5"/>
      <x:c r="D1" s="5"/>
      <x:c r="E1" s="5"/>
      <x:c r="F1" s="5"/>
      <x:c r="G1" s="5"/>
      <x:c r="H1" s="5"/>
      <x:c r="I1" s="5"/>
      <x:c r="J1" s="5"/>
      <x:c r="K1" s="5"/>
      <x:c r="L1" s="5"/>
      <x:c r="M1" s="5"/>
      <x:c r="N1" s="5"/>
      <x:c r="O1" s="5"/>
      <x:c r="P1" s="5"/>
    </x:row>
    <x:row r="2" ht="28" customHeight="1">
      <x:c r="A2" s="12" t="str">
        <x:v>Learning order is dependency-based. Knowledge type is used only after sequencing to choose teaching and assessment methods.</x:v>
      </x:c>
      <x:c r="B2" s="12"/>
      <x:c r="C2" s="12"/>
      <x:c r="D2" s="12"/>
      <x:c r="E2" s="12"/>
      <x:c r="F2" s="12"/>
      <x:c r="G2" s="12"/>
      <x:c r="H2" s="12"/>
      <x:c r="I2" s="12"/>
      <x:c r="J2" s="12"/>
      <x:c r="K2" s="12"/>
      <x:c r="L2" s="12"/>
      <x:c r="M2" s="12"/>
      <x:c r="N2" s="12"/>
      <x:c r="O2" s="12"/>
      <x:c r="P2" s="12"/>
    </x:row>
    <x:row r="3" ht="34" customHeight="1">
      <x:c r="A3" s="19" t="str">
        <x:v>Verified against the current official AWS AIP-C01 exam guide on 2026-06-15. Hard prerequisites must be satisfied before the topic; soft prerequisites improve readiness but may be remediated later.</x:v>
      </x:c>
      <x:c r="B3" s="19"/>
      <x:c r="C3" s="19"/>
      <x:c r="D3" s="19"/>
      <x:c r="E3" s="19"/>
      <x:c r="F3" s="19"/>
      <x:c r="G3" s="19"/>
      <x:c r="H3" s="19"/>
      <x:c r="I3" s="19"/>
      <x:c r="J3" s="19"/>
      <x:c r="K3" s="19"/>
      <x:c r="L3" s="19"/>
      <x:c r="M3" s="19"/>
      <x:c r="N3" s="19"/>
      <x:c r="O3" s="19"/>
      <x:c r="P3" s="19"/>
    </x:row>
    <x:row r="5" ht="42" customHeight="1">
      <x:c r="A5" s="28" t="str">
        <x:v>Index</x:v>
      </x:c>
      <x:c r="B5" s="28" t="str">
        <x:v>Topic Name</x:v>
      </x:c>
      <x:c r="C5" s="28" t="str">
        <x:v>Phase</x:v>
      </x:c>
      <x:c r="D5" s="28" t="str">
        <x:v>Learning Layer</x:v>
      </x:c>
      <x:c r="E5" s="28" t="str">
        <x:v>Syllabus Relationship</x:v>
      </x:c>
      <x:c r="F5" s="28" t="str">
        <x:v>AIP-C01 Skill IDs</x:v>
      </x:c>
      <x:c r="G5" s="28" t="str">
        <x:v>Official Task(s)</x:v>
      </x:c>
      <x:c r="H5" s="28" t="str">
        <x:v>Hard Prerequisite Topic IDs</x:v>
      </x:c>
      <x:c r="I5" s="28" t="str">
        <x:v>Soft Prerequisite Topic IDs</x:v>
      </x:c>
      <x:c r="J5" s="28" t="str">
        <x:v>Dependency Type</x:v>
      </x:c>
      <x:c r="K5" s="28" t="str">
        <x:v>Minimum Proficiency</x:v>
      </x:c>
      <x:c r="L5" s="28" t="str">
        <x:v>Mastery Gate</x:v>
      </x:c>
      <x:c r="M5" s="28" t="str">
        <x:v>Assessment Method</x:v>
      </x:c>
      <x:c r="N5" s="28" t="str">
        <x:v>Knowledge Type</x:v>
      </x:c>
      <x:c r="O5" s="28" t="str">
        <x:v>Teaching Method</x:v>
      </x:c>
      <x:c r="P5" s="28" t="str">
        <x:v>Primary Source URL</x:v>
      </x:c>
    </x:row>
    <x:row r="6" ht="42" customHeight="1">
      <x:c r="A6" s="56" t="n">
        <x:v>1</x:v>
      </x:c>
      <x:c r="B6" s="39" t="str">
        <x:v>Foundation models and GenAI fundamentals</x:v>
      </x:c>
      <x:c r="C6" s="62" t="n">
        <x:v>0</x:v>
      </x:c>
      <x:c r="D6" s="39" t="str">
        <x:v>Layer 0 — GenAI and AWS foundations</x:v>
      </x:c>
      <x:c r="E6" s="39" t="str">
        <x:v>Foundational / cross-cutting</x:v>
      </x:c>
      <x:c r="F6" s="39" t="str">
        <x:v>Foundation (supports all domains)</x:v>
      </x:c>
      <x:c r="G6" s="39" t="str">
        <x:v>Cross-domain</x:v>
      </x:c>
      <x:c r="H6" s="39" t="str"/>
      <x:c r="I6" s="39" t="str"/>
      <x:c r="J6" s="62" t="str">
        <x:f>IF(AND(H6="",I6=""),"None",IF(I6="","Hard","Mixed"))</x:f>
        <x:v>None</x:v>
      </x:c>
      <x:c r="K6" s="62" t="str">
        <x:v>Level 2 — Explain</x:v>
      </x:c>
      <x:c r="L6" s="62" t="str">
        <x:v>Hard</x:v>
      </x:c>
      <x:c r="M6" s="39" t="str">
        <x:v>Explain foundation models and GenAI from memory and distinguish inference from training or customization</x:v>
      </x:c>
      <x:c r="N6" s="39" t="str">
        <x:v>Declarative; Conceptual</x:v>
      </x:c>
      <x:c r="O6" s="39" t="str">
        <x:v>Concept map and concise explanation; retrieval quiz</x:v>
      </x:c>
      <x:c r="P6" s="40" t="str">
        <x:v>https://docs.aws.amazon.com/aws-certification/latest/ai-professional-01/ai-professional-01.html</x:v>
      </x:c>
    </x:row>
    <x:row r="7" ht="42" customHeight="1">
      <x:c r="A7" s="57" t="n">
        <x:v>2</x:v>
      </x:c>
      <x:c r="B7" s="42" t="str">
        <x:v>Tokens, context windows, inference, temperature, top-k, and top-p</x:v>
      </x:c>
      <x:c r="C7" s="63" t="n">
        <x:v>0</x:v>
      </x:c>
      <x:c r="D7" s="42" t="str">
        <x:v>Layer 0 — GenAI and AWS foundations</x:v>
      </x:c>
      <x:c r="E7" s="42" t="str">
        <x:v>Foundational / cross-cutting</x:v>
      </x:c>
      <x:c r="F7" s="42" t="str">
        <x:v>1.6.5; 4.1.1; 4.2.4; 5.2.1</x:v>
      </x:c>
      <x:c r="G7" s="42" t="str">
        <x:v>1.6 Implement prompt engineering strategies and governance for FM interactions; 4.1 Implement cost optimization and resource efficiency strategies; 4.2 Optimize application performance; 5.2 Troubleshoot GenAI applications</x:v>
      </x:c>
      <x:c r="H7" s="42" t="str">
        <x:v>1</x:v>
      </x:c>
      <x:c r="I7" s="42" t="str"/>
      <x:c r="J7" s="63" t="str">
        <x:f>IF(AND(H7="",I7=""),"None",IF(I7="","Hard","Mixed"))</x:f>
        <x:v>Hard</x:v>
      </x:c>
      <x:c r="K7" s="63" t="str">
        <x:v>Level 2 — Explain</x:v>
      </x:c>
      <x:c r="L7" s="63" t="str">
        <x:v>Hard</x:v>
      </x:c>
      <x:c r="M7" s="42" t="str">
        <x:v>Explain token, context, and sampling behavior; predict the effect of changing one parameter</x:v>
      </x:c>
      <x:c r="N7" s="42" t="str">
        <x:v>Declarative; Conceptual; Causal</x:v>
      </x:c>
      <x:c r="O7" s="42" t="str">
        <x:v>Worked examples and controlled parameter experiments</x:v>
      </x:c>
      <x:c r="P7" s="43" t="str">
        <x:v>https://docs.aws.amazon.com/aws-certification/latest/ai-professional-01/ai-professional-01.html</x:v>
      </x:c>
    </x:row>
    <x:row r="8" ht="42" customHeight="1">
      <x:c r="A8" s="57" t="n">
        <x:v>3</x:v>
      </x:c>
      <x:c r="B8" s="42" t="str">
        <x:v>AWS GenAI service landscape: Bedrock, SageMaker AI, Lambda, API Gateway, Step Functions, SQS, EventBridge, S3, DynamoDB, OpenSearch, CloudWatch, X-Ray, IAM</x:v>
      </x:c>
      <x:c r="C8" s="63" t="n">
        <x:v>0</x:v>
      </x:c>
      <x:c r="D8" s="42" t="str">
        <x:v>Layer 0 — GenAI and AWS foundations</x:v>
      </x:c>
      <x:c r="E8" s="42" t="str">
        <x:v>Foundational / cross-cutting</x:v>
      </x:c>
      <x:c r="F8" s="42" t="str">
        <x:v>Cross-domain technologies/concepts; in-scope services</x:v>
      </x:c>
      <x:c r="G8" s="42" t="str">
        <x:v>Cross-domain</x:v>
      </x:c>
      <x:c r="H8" s="42" t="str">
        <x:v>1</x:v>
      </x:c>
      <x:c r="I8" s="42" t="str"/>
      <x:c r="J8" s="63" t="str">
        <x:f>IF(AND(H8="",I8=""),"None",IF(I8="","Hard","Mixed"))</x:f>
        <x:v>Hard</x:v>
      </x:c>
      <x:c r="K8" s="63" t="str">
        <x:v>Level 2 — Explain</x:v>
      </x:c>
      <x:c r="L8" s="63" t="str">
        <x:v>Hard</x:v>
      </x:c>
      <x:c r="M8" s="42" t="str">
        <x:v>Match core AWS services to their roles in a simple GenAI architecture and explain the boundaries</x:v>
      </x:c>
      <x:c r="N8" s="42" t="str">
        <x:v>Declarative; Conceptual; Embedded</x:v>
      </x:c>
      <x:c r="O8" s="42" t="str">
        <x:v>AWS service map and use-case matching exercises</x:v>
      </x:c>
      <x:c r="P8" s="43" t="str">
        <x:v>https://docs.aws.amazon.com/aws-certification/latest/ai-professional-01/aip-01-in-scope-services.html</x:v>
      </x:c>
    </x:row>
    <x:row r="9" ht="42" customHeight="1">
      <x:c r="A9" s="57" t="n">
        <x:v>4</x:v>
      </x:c>
      <x:c r="B9" s="42" t="str">
        <x:v>API, event-driven, serverless, container, and workflow fundamentals</x:v>
      </x:c>
      <x:c r="C9" s="63" t="n">
        <x:v>0</x:v>
      </x:c>
      <x:c r="D9" s="42" t="str">
        <x:v>Layer 0 — GenAI and AWS foundations</x:v>
      </x:c>
      <x:c r="E9" s="42" t="str">
        <x:v>Foundational / cross-cutting</x:v>
      </x:c>
      <x:c r="F9" s="42" t="str">
        <x:v>2.3.1; 2.4.1; 2.5.1</x:v>
      </x:c>
      <x:c r="G9" s="42" t="str">
        <x:v>2.3 Design and implement enterprise integration architectures; 2.4 Implement FM API integrations; 2.5 Implement application integration patterns and development tools</x:v>
      </x:c>
      <x:c r="H9" s="42" t="str">
        <x:v>3</x:v>
      </x:c>
      <x:c r="I9" s="42" t="str">
        <x:v>1</x:v>
      </x:c>
      <x:c r="J9" s="63" t="str">
        <x:f>IF(AND(H9="",I9=""),"None",IF(I9="","Hard","Mixed"))</x:f>
        <x:v>Mixed</x:v>
      </x:c>
      <x:c r="K9" s="63" t="str">
        <x:v>Level 2 — Explain</x:v>
      </x:c>
      <x:c r="L9" s="63" t="str">
        <x:v>Hard</x:v>
      </x:c>
      <x:c r="M9" s="42" t="str">
        <x:v>Compare synchronous, asynchronous, event-driven, serverless, container, and workflow patterns</x:v>
      </x:c>
      <x:c r="N9" s="42" t="str">
        <x:v>Conceptual; Conditional</x:v>
      </x:c>
      <x:c r="O9" s="42" t="str">
        <x:v>Architecture-pattern comparison and design sketch</x:v>
      </x:c>
      <x:c r="P9" s="43" t="str">
        <x:v>https://docs.aws.amazon.com/aws-certification/latest/ai-professional-01/ai-professional-01-domain2.html</x:v>
      </x:c>
    </x:row>
    <x:row r="10" ht="42" customHeight="1">
      <x:c r="A10" s="57" t="n">
        <x:v>5</x:v>
      </x:c>
      <x:c r="B10" s="42" t="str">
        <x:v>IAM, trust boundaries, least privilege, networking, and data-protection fundamentals</x:v>
      </x:c>
      <x:c r="C10" s="63" t="n">
        <x:v>0</x:v>
      </x:c>
      <x:c r="D10" s="42" t="str">
        <x:v>Layer 0 — GenAI and AWS foundations</x:v>
      </x:c>
      <x:c r="E10" s="42" t="str">
        <x:v>Foundational / cross-cutting</x:v>
      </x:c>
      <x:c r="F10" s="42" t="str">
        <x:v>2.3.3; 3.2.1; 3.2.2</x:v>
      </x:c>
      <x:c r="G10" s="42" t="str">
        <x:v>2.3 Design and implement enterprise integration architectures; 3.2 Implement data security and privacy controls</x:v>
      </x:c>
      <x:c r="H10" s="42" t="str">
        <x:v>3, 4</x:v>
      </x:c>
      <x:c r="I10" s="42" t="str">
        <x:v>2</x:v>
      </x:c>
      <x:c r="J10" s="63" t="str">
        <x:f>IF(AND(H10="",I10=""),"None",IF(I10="","Hard","Mixed"))</x:f>
        <x:v>Mixed</x:v>
      </x:c>
      <x:c r="K10" s="63" t="str">
        <x:v>Level 4 — Select/Diagnose</x:v>
      </x:c>
      <x:c r="L10" s="63" t="str">
        <x:v>Hard</x:v>
      </x:c>
      <x:c r="M10" s="42" t="str">
        <x:v>Apply the control to a scenario and prove prohibited access or data exposure is blocked</x:v>
      </x:c>
      <x:c r="N10" s="42" t="str">
        <x:v>Conceptual; Conditional; Normative</x:v>
      </x:c>
      <x:c r="O10" s="42" t="str">
        <x:v>Trust-boundary diagram and IAM scenario analysis</x:v>
      </x:c>
      <x:c r="P10" s="43" t="str">
        <x:v>https://docs.aws.amazon.com/aws-certification/latest/ai-professional-01/ai-professional-01.html</x:v>
      </x:c>
    </x:row>
    <x:row r="11" ht="42" customHeight="1">
      <x:c r="A11" s="57" t="n">
        <x:v>6</x:v>
      </x:c>
      <x:c r="B11" s="42" t="str">
        <x:v>GenAI requirements analysis and basic solution architecture</x:v>
      </x:c>
      <x:c r="C11" s="63" t="n">
        <x:v>0</x:v>
      </x:c>
      <x:c r="D11" s="42" t="str">
        <x:v>Layer 0 — GenAI and AWS foundations</x:v>
      </x:c>
      <x:c r="E11" s="42" t="str">
        <x:v>Official skill-derived</x:v>
      </x:c>
      <x:c r="F11" s="42" t="str">
        <x:v>1.1.1; 1.1.2; 1.1.3</x:v>
      </x:c>
      <x:c r="G11" s="42" t="str">
        <x:v>1.1 Analyze requirements and design GenAI solutions</x:v>
      </x:c>
      <x:c r="H11" s="42" t="str">
        <x:v>1, 3, 4, 5</x:v>
      </x:c>
      <x:c r="I11" s="42" t="str">
        <x:v>2</x:v>
      </x:c>
      <x:c r="J11" s="63" t="str">
        <x:f>IF(AND(H11="",I11=""),"None",IF(I11="","Hard","Mixed"))</x:f>
        <x:v>Mixed</x:v>
      </x:c>
      <x:c r="K11" s="63" t="str">
        <x:v>Level 4 — Select/Diagnose</x:v>
      </x:c>
      <x:c r="L11" s="63" t="str">
        <x:v>Hard</x:v>
      </x:c>
      <x:c r="M11" s="42" t="str">
        <x:v>Design a solution for a novel case and defend component choices, constraints, and residual risks</x:v>
      </x:c>
      <x:c r="N11" s="42" t="str">
        <x:v>Conceptual; Conditional; Strategic</x:v>
      </x:c>
      <x:c r="O11" s="42" t="str">
        <x:v>Requirements case study and architecture decision record</x:v>
      </x:c>
      <x:c r="P11" s="43" t="str">
        <x:v>https://docs.aws.amazon.com/aws-certification/latest/ai-professional-01/ai-professional-01-domain1.html</x:v>
      </x:c>
    </x:row>
    <x:row r="12" ht="42" customHeight="1">
      <x:c r="A12" s="57" t="n">
        <x:v>7</x:v>
      </x:c>
      <x:c r="B12" s="42" t="str">
        <x:v>Foundation-model capabilities, limitations, and basic model selection</x:v>
      </x:c>
      <x:c r="C12" s="63" t="n">
        <x:v>0</x:v>
      </x:c>
      <x:c r="D12" s="42" t="str">
        <x:v>Layer 0 — GenAI and AWS foundations</x:v>
      </x:c>
      <x:c r="E12" s="42" t="str">
        <x:v>Official skill-derived</x:v>
      </x:c>
      <x:c r="F12" s="42" t="str">
        <x:v>1.2.1</x:v>
      </x:c>
      <x:c r="G12" s="42" t="str">
        <x:v>1.2 Select and configure FMs</x:v>
      </x:c>
      <x:c r="H12" s="42" t="str">
        <x:v>1, 2, 6</x:v>
      </x:c>
      <x:c r="I12" s="42" t="str"/>
      <x:c r="J12" s="63" t="str">
        <x:f>IF(AND(H12="",I12=""),"None",IF(I12="","Hard","Mixed"))</x:f>
        <x:v>Hard</x:v>
      </x:c>
      <x:c r="K12" s="63" t="str">
        <x:v>Level 4 — Select/Diagnose</x:v>
      </x:c>
      <x:c r="L12" s="63" t="str">
        <x:v>Hard</x:v>
      </x:c>
      <x:c r="M12" s="42" t="str">
        <x:v>Choose among plausible models or routes using evidence and explain why alternatives are inferior</x:v>
      </x:c>
      <x:c r="N12" s="42" t="str">
        <x:v>Declarative; Conditional; Strategic</x:v>
      </x:c>
      <x:c r="O12" s="42" t="str">
        <x:v>Model comparison matrix and selection scenarios</x:v>
      </x:c>
      <x:c r="P12" s="43" t="str">
        <x:v>https://docs.aws.amazon.com/aws-certification/latest/ai-professional-01/ai-professional-01-domain1.html</x:v>
      </x:c>
    </x:row>
    <x:row r="13" ht="42" customHeight="1">
      <x:c r="A13" s="57" t="n">
        <x:v>8</x:v>
      </x:c>
      <x:c r="B13" s="42" t="str">
        <x:v>Basic Amazon Bedrock model invocation</x:v>
      </x:c>
      <x:c r="C13" s="63" t="n">
        <x:v>0</x:v>
      </x:c>
      <x:c r="D13" s="42" t="str">
        <x:v>Layer 0 — GenAI and AWS foundations</x:v>
      </x:c>
      <x:c r="E13" s="42" t="str">
        <x:v>Official skill-derived</x:v>
      </x:c>
      <x:c r="F13" s="42" t="str">
        <x:v>2.2.1; 2.4.1</x:v>
      </x:c>
      <x:c r="G13" s="42" t="str">
        <x:v>2.2 Implement model deployment strategies; 2.4 Implement FM API integrations</x:v>
      </x:c>
      <x:c r="H13" s="42" t="str">
        <x:v>3, 5, 7</x:v>
      </x:c>
      <x:c r="I13" s="42" t="str">
        <x:v>4</x:v>
      </x:c>
      <x:c r="J13" s="63" t="str">
        <x:f>IF(AND(H13="",I13=""),"None",IF(I13="","Hard","Mixed"))</x:f>
        <x:v>Mixed</x:v>
      </x:c>
      <x:c r="K13" s="63" t="str">
        <x:v>Level 3 — Apply/Implement</x:v>
      </x:c>
      <x:c r="L13" s="63" t="str">
        <x:v>Hard</x:v>
      </x:c>
      <x:c r="M13" s="42" t="str">
        <x:v>Complete an independent hands-on task and explain the key implementation decisions</x:v>
      </x:c>
      <x:c r="N13" s="42" t="str">
        <x:v>Procedural; Embedded</x:v>
      </x:c>
      <x:c r="O13" s="42" t="str">
        <x:v>Guided Bedrock API lab followed by independent invocation</x:v>
      </x:c>
      <x:c r="P13" s="43" t="str">
        <x:v>https://docs.aws.amazon.com/aws-certification/latest/ai-professional-01/ai-professional-01-domain2.html</x:v>
      </x:c>
    </x:row>
    <x:row r="14" ht="42" customHeight="1">
      <x:c r="A14" s="57" t="n">
        <x:v>9</x:v>
      </x:c>
      <x:c r="B14" s="42" t="str">
        <x:v>Prompt fundamentals, instructions, templates, and structured outputs</x:v>
      </x:c>
      <x:c r="C14" s="63" t="n">
        <x:v>0</x:v>
      </x:c>
      <x:c r="D14" s="42" t="str">
        <x:v>Layer 0 — GenAI and AWS foundations</x:v>
      </x:c>
      <x:c r="E14" s="42" t="str">
        <x:v>Official skill-derived</x:v>
      </x:c>
      <x:c r="F14" s="42" t="str">
        <x:v>1.6.1; 1.6.5</x:v>
      </x:c>
      <x:c r="G14" s="42" t="str">
        <x:v>1.6 Implement prompt engineering strategies and governance for FM interactions</x:v>
      </x:c>
      <x:c r="H14" s="42" t="str">
        <x:v>2, 8</x:v>
      </x:c>
      <x:c r="I14" s="42" t="str"/>
      <x:c r="J14" s="63" t="str">
        <x:f>IF(AND(H14="",I14=""),"None",IF(I14="","Hard","Mixed"))</x:f>
        <x:v>Hard</x:v>
      </x:c>
      <x:c r="K14" s="63" t="str">
        <x:v>Level 3 — Apply/Implement</x:v>
      </x:c>
      <x:c r="L14" s="63" t="str">
        <x:v>Hard</x:v>
      </x:c>
      <x:c r="M14" s="42" t="str">
        <x:v>Improve a prompt against a fixed test set and demonstrate that no critical regression was introduced</x:v>
      </x:c>
      <x:c r="N14" s="42" t="str">
        <x:v>Conceptual; Procedural; Causal</x:v>
      </x:c>
      <x:c r="O14" s="42" t="str">
        <x:v>Prompt examples and iterative prompt laboratory</x:v>
      </x:c>
      <x:c r="P14" s="43" t="str">
        <x:v>https://docs.aws.amazon.com/aws-certification/latest/ai-professional-01/ai-professional-01-domain1.html</x:v>
      </x:c>
    </x:row>
    <x:row r="15" ht="42" customHeight="1">
      <x:c r="A15" s="57" t="n">
        <x:v>10</x:v>
      </x:c>
      <x:c r="B15" s="42" t="str">
        <x:v>Basic GenAI evaluation concepts and golden datasets</x:v>
      </x:c>
      <x:c r="C15" s="63" t="n">
        <x:v>0</x:v>
      </x:c>
      <x:c r="D15" s="42" t="str">
        <x:v>Layer 0 — GenAI and AWS foundations</x:v>
      </x:c>
      <x:c r="E15" s="42" t="str">
        <x:v>Official skill-derived</x:v>
      </x:c>
      <x:c r="F15" s="42" t="str">
        <x:v>5.1.1; 5.1.4; 5.1.5</x:v>
      </x:c>
      <x:c r="G15" s="42" t="str">
        <x:v>5.1 Implement evaluation systems for GenAI</x:v>
      </x:c>
      <x:c r="H15" s="42" t="str">
        <x:v>8, 9</x:v>
      </x:c>
      <x:c r="I15" s="42" t="str">
        <x:v>6</x:v>
      </x:c>
      <x:c r="J15" s="63" t="str">
        <x:f>IF(AND(H15="",I15=""),"None",IF(I15="","Hard","Mixed"))</x:f>
        <x:v>Mixed</x:v>
      </x:c>
      <x:c r="K15" s="63" t="str">
        <x:v>Level 4 — Select/Diagnose</x:v>
      </x:c>
      <x:c r="L15" s="63" t="str">
        <x:v>Hard</x:v>
      </x:c>
      <x:c r="M15" s="42" t="str">
        <x:v>Build or apply an evaluation set, interpret results, and make a justified release or model decision</x:v>
      </x:c>
      <x:c r="N15" s="42" t="str">
        <x:v>Conceptual; Procedural</x:v>
      </x:c>
      <x:c r="O15" s="42" t="str">
        <x:v>Build a small golden dataset and score sample outputs</x:v>
      </x:c>
      <x:c r="P15" s="43" t="str">
        <x:v>https://docs.aws.amazon.com/aws-certification/latest/ai-professional-01/ai-professional-01-domain5.html</x:v>
      </x:c>
    </x:row>
    <x:row r="16" ht="42" customHeight="1">
      <x:c r="A16" s="57" t="n">
        <x:v>11</x:v>
      </x:c>
      <x:c r="B16" s="42" t="str">
        <x:v>Data-quality validation and monitoring</x:v>
      </x:c>
      <x:c r="C16" s="63" t="n">
        <x:v>1</x:v>
      </x:c>
      <x:c r="D16" s="42" t="str">
        <x:v>Layer 1 — Data and RAG foundations</x:v>
      </x:c>
      <x:c r="E16" s="42" t="str">
        <x:v>Official skill-derived</x:v>
      </x:c>
      <x:c r="F16" s="42" t="str">
        <x:v>1.3.1</x:v>
      </x:c>
      <x:c r="G16" s="42" t="str">
        <x:v>1.3 Implement data validation and processing pipelines for FM consumption</x:v>
      </x:c>
      <x:c r="H16" s="42" t="str">
        <x:v>3, 5</x:v>
      </x:c>
      <x:c r="I16" s="42" t="str">
        <x:v>6</x:v>
      </x:c>
      <x:c r="J16" s="63" t="str">
        <x:f>IF(AND(H16="",I16=""),"None",IF(I16="","Hard","Mixed"))</x:f>
        <x:v>Mixed</x:v>
      </x:c>
      <x:c r="K16" s="63" t="str">
        <x:v>Level 3 — Apply/Implement</x:v>
      </x:c>
      <x:c r="L16" s="63" t="str">
        <x:v>Hard</x:v>
      </x:c>
      <x:c r="M16" s="42" t="str">
        <x:v>Instrument the system, detect an injected anomaly, and identify the affected component</x:v>
      </x:c>
      <x:c r="N16" s="42" t="str">
        <x:v>Procedural; Causal; Embedded</x:v>
      </x:c>
      <x:c r="O16" s="42" t="str">
        <x:v>Data-quality lab using deliberately defective records</x:v>
      </x:c>
      <x:c r="P16" s="43" t="str">
        <x:v>https://docs.aws.amazon.com/aws-certification/latest/ai-professional-01/ai-professional-01-domain1.html</x:v>
      </x:c>
    </x:row>
    <x:row r="17" ht="42" customHeight="1">
      <x:c r="A17" s="57" t="n">
        <x:v>12</x:v>
      </x:c>
      <x:c r="B17" s="42" t="str">
        <x:v>Text, image, audio, and tabular-data preprocessing</x:v>
      </x:c>
      <x:c r="C17" s="63" t="n">
        <x:v>1</x:v>
      </x:c>
      <x:c r="D17" s="42" t="str">
        <x:v>Layer 1 — Data and RAG foundations</x:v>
      </x:c>
      <x:c r="E17" s="42" t="str">
        <x:v>Official skill-derived</x:v>
      </x:c>
      <x:c r="F17" s="42" t="str">
        <x:v>1.3.2</x:v>
      </x:c>
      <x:c r="G17" s="42" t="str">
        <x:v>1.3 Implement data validation and processing pipelines for FM consumption</x:v>
      </x:c>
      <x:c r="H17" s="42" t="str">
        <x:v>11</x:v>
      </x:c>
      <x:c r="I17" s="42" t="str">
        <x:v>1</x:v>
      </x:c>
      <x:c r="J17" s="63" t="str">
        <x:f>IF(AND(H17="",I17=""),"None",IF(I17="","Hard","Mixed"))</x:f>
        <x:v>Mixed</x:v>
      </x:c>
      <x:c r="K17" s="63" t="str">
        <x:v>Level 3 — Apply/Implement</x:v>
      </x:c>
      <x:c r="L17" s="63" t="str">
        <x:v>Soft</x:v>
      </x:c>
      <x:c r="M17" s="42" t="str">
        <x:v>Complete an independent hands-on task and explain the key implementation decisions</x:v>
      </x:c>
      <x:c r="N17" s="42" t="str">
        <x:v>Conceptual; Procedural; Conditional</x:v>
      </x:c>
      <x:c r="O17" s="42" t="str">
        <x:v>Multimodal preprocessing lab and modality comparison</x:v>
      </x:c>
      <x:c r="P17" s="43" t="str">
        <x:v>https://docs.aws.amazon.com/aws-certification/latest/ai-professional-01/ai-professional-01-domain1.html</x:v>
      </x:c>
    </x:row>
    <x:row r="18" ht="42" customHeight="1">
      <x:c r="A18" s="57" t="n">
        <x:v>13</x:v>
      </x:c>
      <x:c r="B18" s="42" t="str">
        <x:v>Model-specific input formatting and data normalization</x:v>
      </x:c>
      <x:c r="C18" s="63" t="n">
        <x:v>1</x:v>
      </x:c>
      <x:c r="D18" s="42" t="str">
        <x:v>Layer 1 — Data and RAG foundations</x:v>
      </x:c>
      <x:c r="E18" s="42" t="str">
        <x:v>Official skill-derived</x:v>
      </x:c>
      <x:c r="F18" s="42" t="str">
        <x:v>1.3.3; 1.3.4</x:v>
      </x:c>
      <x:c r="G18" s="42" t="str">
        <x:v>1.3 Implement data validation and processing pipelines for FM consumption</x:v>
      </x:c>
      <x:c r="H18" s="42" t="str">
        <x:v>8, 11, 12</x:v>
      </x:c>
      <x:c r="I18" s="42" t="str">
        <x:v>9</x:v>
      </x:c>
      <x:c r="J18" s="63" t="str">
        <x:f>IF(AND(H18="",I18=""),"None",IF(I18="","Hard","Mixed"))</x:f>
        <x:v>Mixed</x:v>
      </x:c>
      <x:c r="K18" s="63" t="str">
        <x:v>Level 3 — Apply/Implement</x:v>
      </x:c>
      <x:c r="L18" s="63" t="str">
        <x:v>Hard</x:v>
      </x:c>
      <x:c r="M18" s="42" t="str">
        <x:v>Complete an independent hands-on task and explain the key implementation decisions</x:v>
      </x:c>
      <x:c r="N18" s="42" t="str">
        <x:v>Declarative; Procedural; Embedded</x:v>
      </x:c>
      <x:c r="O18" s="42" t="str">
        <x:v>Schema and request-formatting laboratory</x:v>
      </x:c>
      <x:c r="P18" s="43" t="str">
        <x:v>https://docs.aws.amazon.com/aws-certification/latest/ai-professional-01/ai-professional-01-domain1.html</x:v>
      </x:c>
    </x:row>
    <x:row r="19" ht="42" customHeight="1">
      <x:c r="A19" s="57" t="n">
        <x:v>14</x:v>
      </x:c>
      <x:c r="B19" s="42" t="str">
        <x:v>Embeddings and vector-similarity fundamentals</x:v>
      </x:c>
      <x:c r="C19" s="63" t="n">
        <x:v>1</x:v>
      </x:c>
      <x:c r="D19" s="42" t="str">
        <x:v>Layer 1 — Data and RAG foundations</x:v>
      </x:c>
      <x:c r="E19" s="42" t="str">
        <x:v>Official skill-derived</x:v>
      </x:c>
      <x:c r="F19" s="42" t="str">
        <x:v>1.5.2</x:v>
      </x:c>
      <x:c r="G19" s="42" t="str">
        <x:v>1.5 Design retrieval mechanisms for FM augmentation</x:v>
      </x:c>
      <x:c r="H19" s="42" t="str">
        <x:v>1, 2</x:v>
      </x:c>
      <x:c r="I19" s="42" t="str">
        <x:v>3</x:v>
      </x:c>
      <x:c r="J19" s="63" t="str">
        <x:f>IF(AND(H19="",I19=""),"None",IF(I19="","Hard","Mixed"))</x:f>
        <x:v>Mixed</x:v>
      </x:c>
      <x:c r="K19" s="63" t="str">
        <x:v>Level 2 — Explain</x:v>
      </x:c>
      <x:c r="L19" s="63" t="str">
        <x:v>Hard</x:v>
      </x:c>
      <x:c r="M19" s="42" t="str">
        <x:v>Explain embeddings and vector similarity and interpret a simple nearest-neighbor example</x:v>
      </x:c>
      <x:c r="N19" s="42" t="str">
        <x:v>Declarative; Conceptual</x:v>
      </x:c>
      <x:c r="O19" s="42" t="str">
        <x:v>Embedding visualization, nearest-neighbor exercise, and explanation</x:v>
      </x:c>
      <x:c r="P19" s="43" t="str">
        <x:v>https://docs.aws.amazon.com/aws-certification/latest/ai-professional-01/ai-professional-01-domain1.html</x:v>
      </x:c>
    </x:row>
    <x:row r="20" ht="42" customHeight="1">
      <x:c r="A20" s="57" t="n">
        <x:v>15</x:v>
      </x:c>
      <x:c r="B20" s="42" t="str">
        <x:v>Document chunking and segmentation</x:v>
      </x:c>
      <x:c r="C20" s="63" t="n">
        <x:v>1</x:v>
      </x:c>
      <x:c r="D20" s="42" t="str">
        <x:v>Layer 1 — Data and RAG foundations</x:v>
      </x:c>
      <x:c r="E20" s="42" t="str">
        <x:v>Official skill-derived</x:v>
      </x:c>
      <x:c r="F20" s="42" t="str">
        <x:v>1.5.1</x:v>
      </x:c>
      <x:c r="G20" s="42" t="str">
        <x:v>1.5 Design retrieval mechanisms for FM augmentation</x:v>
      </x:c>
      <x:c r="H20" s="42" t="str">
        <x:v>14</x:v>
      </x:c>
      <x:c r="I20" s="42" t="str">
        <x:v>13</x:v>
      </x:c>
      <x:c r="J20" s="63" t="str">
        <x:f>IF(AND(H20="",I20=""),"None",IF(I20="","Hard","Mixed"))</x:f>
        <x:v>Mixed</x:v>
      </x:c>
      <x:c r="K20" s="63" t="str">
        <x:v>Level 3 — Apply/Implement</x:v>
      </x:c>
      <x:c r="L20" s="63" t="str">
        <x:v>Hard</x:v>
      </x:c>
      <x:c r="M20" s="42" t="str">
        <x:v>Run representative queries, measure retrieval quality, and explain or correct one failure</x:v>
      </x:c>
      <x:c r="N20" s="42" t="str">
        <x:v>Conceptual; Procedural; Causal; Conditional</x:v>
      </x:c>
      <x:c r="O20" s="42" t="str">
        <x:v>Controlled chunking experiments on varied documents</x:v>
      </x:c>
      <x:c r="P20" s="43" t="str">
        <x:v>https://docs.aws.amazon.com/aws-certification/latest/ai-professional-01/ai-professional-01-domain1.html</x:v>
      </x:c>
    </x:row>
    <x:row r="21" ht="42" customHeight="1">
      <x:c r="A21" s="57" t="n">
        <x:v>16</x:v>
      </x:c>
      <x:c r="B21" s="42" t="str">
        <x:v>Metadata design and filtering</x:v>
      </x:c>
      <x:c r="C21" s="63" t="n">
        <x:v>1</x:v>
      </x:c>
      <x:c r="D21" s="42" t="str">
        <x:v>Layer 1 — Data and RAG foundations</x:v>
      </x:c>
      <x:c r="E21" s="42" t="str">
        <x:v>Official skill-derived</x:v>
      </x:c>
      <x:c r="F21" s="42" t="str">
        <x:v>1.4.2</x:v>
      </x:c>
      <x:c r="G21" s="42" t="str">
        <x:v>1.4 Design and implement vector store solutions</x:v>
      </x:c>
      <x:c r="H21" s="42" t="str">
        <x:v>11, 15</x:v>
      </x:c>
      <x:c r="I21" s="42" t="str">
        <x:v>5</x:v>
      </x:c>
      <x:c r="J21" s="63" t="str">
        <x:f>IF(AND(H21="",I21=""),"None",IF(I21="","Hard","Mixed"))</x:f>
        <x:v>Mixed</x:v>
      </x:c>
      <x:c r="K21" s="63" t="str">
        <x:v>Level 3 — Apply/Implement</x:v>
      </x:c>
      <x:c r="L21" s="63" t="str">
        <x:v>Hard</x:v>
      </x:c>
      <x:c r="M21" s="42" t="str">
        <x:v>Complete an independent hands-on task and explain the key implementation decisions</x:v>
      </x:c>
      <x:c r="N21" s="42" t="str">
        <x:v>Conceptual; Procedural; Conditional</x:v>
      </x:c>
      <x:c r="O21" s="42" t="str">
        <x:v>Metadata-schema design and filtered-retrieval test</x:v>
      </x:c>
      <x:c r="P21" s="43" t="str">
        <x:v>https://docs.aws.amazon.com/aws-certification/latest/ai-professional-01/ai-professional-01-domain1.html</x:v>
      </x:c>
    </x:row>
    <x:row r="22" ht="42" customHeight="1">
      <x:c r="A22" s="57" t="n">
        <x:v>17</x:v>
      </x:c>
      <x:c r="B22" s="42" t="str">
        <x:v>Vector-store technologies and architecture</x:v>
      </x:c>
      <x:c r="C22" s="63" t="n">
        <x:v>1</x:v>
      </x:c>
      <x:c r="D22" s="42" t="str">
        <x:v>Layer 1 — Data and RAG foundations</x:v>
      </x:c>
      <x:c r="E22" s="42" t="str">
        <x:v>Official skill-derived</x:v>
      </x:c>
      <x:c r="F22" s="42" t="str">
        <x:v>1.4.1; 1.5.3</x:v>
      </x:c>
      <x:c r="G22" s="42" t="str">
        <x:v>1.4 Design and implement vector store solutions; 1.5 Design retrieval mechanisms for FM augmentation</x:v>
      </x:c>
      <x:c r="H22" s="42" t="str">
        <x:v>3, 14, 16</x:v>
      </x:c>
      <x:c r="I22" s="42" t="str">
        <x:v>6</x:v>
      </x:c>
      <x:c r="J22" s="63" t="str">
        <x:f>IF(AND(H22="",I22=""),"None",IF(I22="","Hard","Mixed"))</x:f>
        <x:v>Mixed</x:v>
      </x:c>
      <x:c r="K22" s="63" t="str">
        <x:v>Level 4 — Select/Diagnose</x:v>
      </x:c>
      <x:c r="L22" s="63" t="str">
        <x:v>Hard</x:v>
      </x:c>
      <x:c r="M22" s="42" t="str">
        <x:v>Design a solution for a novel case and defend component choices, constraints, and residual risks</x:v>
      </x:c>
      <x:c r="N22" s="42" t="str">
        <x:v>Conceptual; Conditional; Strategic; Embedded</x:v>
      </x:c>
      <x:c r="O22" s="42" t="str">
        <x:v>Architecture comparison and managed-versus-custom implementation</x:v>
      </x:c>
      <x:c r="P22" s="43" t="str">
        <x:v>https://docs.aws.amazon.com/aws-certification/latest/ai-professional-01/ai-professional-01-domain1.html</x:v>
      </x:c>
    </x:row>
    <x:row r="23" ht="42" customHeight="1">
      <x:c r="A23" s="57" t="n">
        <x:v>18</x:v>
      </x:c>
      <x:c r="B23" s="42" t="str">
        <x:v>Vector indexing, sharding, scaling, and performance</x:v>
      </x:c>
      <x:c r="C23" s="63" t="n">
        <x:v>1</x:v>
      </x:c>
      <x:c r="D23" s="42" t="str">
        <x:v>Layer 1 — Data and RAG foundations</x:v>
      </x:c>
      <x:c r="E23" s="42" t="str">
        <x:v>Official skill-derived</x:v>
      </x:c>
      <x:c r="F23" s="42" t="str">
        <x:v>1.4.3</x:v>
      </x:c>
      <x:c r="G23" s="42" t="str">
        <x:v>1.4 Design and implement vector store solutions</x:v>
      </x:c>
      <x:c r="H23" s="42" t="str">
        <x:v>17</x:v>
      </x:c>
      <x:c r="I23" s="42" t="str">
        <x:v>11</x:v>
      </x:c>
      <x:c r="J23" s="63" t="str">
        <x:f>IF(AND(H23="",I23=""),"None",IF(I23="","Hard","Mixed"))</x:f>
        <x:v>Mixed</x:v>
      </x:c>
      <x:c r="K23" s="63" t="str">
        <x:v>Level 4 — Select/Diagnose</x:v>
      </x:c>
      <x:c r="L23" s="63" t="str">
        <x:v>Hard</x:v>
      </x:c>
      <x:c r="M23" s="42" t="str">
        <x:v>Benchmark a baseline, apply one justified change, and explain the measured quality/cost/performance effect</x:v>
      </x:c>
      <x:c r="N23" s="42" t="str">
        <x:v>Conceptual; Procedural; Causal; Embedded</x:v>
      </x:c>
      <x:c r="O23" s="42" t="str">
        <x:v>Index benchmark and sharding experiment</x:v>
      </x:c>
      <x:c r="P23" s="43" t="str">
        <x:v>https://docs.aws.amazon.com/aws-certification/latest/ai-professional-01/ai-professional-01-domain1.html</x:v>
      </x:c>
    </x:row>
    <x:row r="24" ht="42" customHeight="1">
      <x:c r="A24" s="57" t="n">
        <x:v>19</x:v>
      </x:c>
      <x:c r="B24" s="42" t="str">
        <x:v>Basic semantic retrieval</x:v>
      </x:c>
      <x:c r="C24" s="63" t="n">
        <x:v>1</x:v>
      </x:c>
      <x:c r="D24" s="42" t="str">
        <x:v>Layer 1 — Data and RAG foundations</x:v>
      </x:c>
      <x:c r="E24" s="42" t="str">
        <x:v>Official skill-derived</x:v>
      </x:c>
      <x:c r="F24" s="42" t="str">
        <x:v>1.5.3</x:v>
      </x:c>
      <x:c r="G24" s="42" t="str">
        <x:v>1.5 Design retrieval mechanisms for FM augmentation</x:v>
      </x:c>
      <x:c r="H24" s="42" t="str">
        <x:v>17, 18</x:v>
      </x:c>
      <x:c r="I24" s="42" t="str">
        <x:v>16</x:v>
      </x:c>
      <x:c r="J24" s="63" t="str">
        <x:f>IF(AND(H24="",I24=""),"None",IF(I24="","Hard","Mixed"))</x:f>
        <x:v>Mixed</x:v>
      </x:c>
      <x:c r="K24" s="63" t="str">
        <x:v>Level 3 — Apply/Implement</x:v>
      </x:c>
      <x:c r="L24" s="63" t="str">
        <x:v>Hard</x:v>
      </x:c>
      <x:c r="M24" s="42" t="str">
        <x:v>Run representative queries, measure retrieval quality, and explain or correct one failure</x:v>
      </x:c>
      <x:c r="N24" s="42" t="str">
        <x:v>Conceptual; Procedural</x:v>
      </x:c>
      <x:c r="O24" s="42" t="str">
        <x:v>Build semantic search and test representative queries</x:v>
      </x:c>
      <x:c r="P24" s="43" t="str">
        <x:v>https://docs.aws.amazon.com/aws-certification/latest/ai-professional-01/ai-professional-01-domain1.html</x:v>
      </x:c>
    </x:row>
    <x:row r="25" ht="42" customHeight="1">
      <x:c r="A25" s="57" t="n">
        <x:v>20</x:v>
      </x:c>
      <x:c r="B25" s="42" t="str">
        <x:v>Basic Retrieval-Augmented Generation</x:v>
      </x:c>
      <x:c r="C25" s="63" t="n">
        <x:v>1</x:v>
      </x:c>
      <x:c r="D25" s="42" t="str">
        <x:v>Layer 1 — Data and RAG foundations</x:v>
      </x:c>
      <x:c r="E25" s="42" t="str">
        <x:v>Official skill-derived</x:v>
      </x:c>
      <x:c r="F25" s="42" t="str">
        <x:v>1.4.1; 1.5.3</x:v>
      </x:c>
      <x:c r="G25" s="42" t="str">
        <x:v>1.4 Design and implement vector store solutions; 1.5 Design retrieval mechanisms for FM augmentation</x:v>
      </x:c>
      <x:c r="H25" s="42" t="str">
        <x:v>8, 9, 10, 13, 15, 19</x:v>
      </x:c>
      <x:c r="I25" s="42" t="str">
        <x:v>6, 16</x:v>
      </x:c>
      <x:c r="J25" s="63" t="str">
        <x:f>IF(AND(H25="",I25=""),"None",IF(I25="","Hard","Mixed"))</x:f>
        <x:v>Mixed</x:v>
      </x:c>
      <x:c r="K25" s="63" t="str">
        <x:v>Level 3 — Apply/Implement</x:v>
      </x:c>
      <x:c r="L25" s="63" t="str">
        <x:v>Hard</x:v>
      </x:c>
      <x:c r="M25" s="42" t="str">
        <x:v>Run representative queries, measure retrieval quality, and explain or correct one failure</x:v>
      </x:c>
      <x:c r="N25" s="42" t="str">
        <x:v>Conceptual; Procedural; Strategic</x:v>
      </x:c>
      <x:c r="O25" s="42" t="str">
        <x:v>End-to-end basic RAG mini-project</x:v>
      </x:c>
      <x:c r="P25" s="43" t="str">
        <x:v>https://docs.aws.amazon.com/aws-certification/latest/ai-professional-01/ai-professional-01-domain1.html</x:v>
      </x:c>
    </x:row>
    <x:row r="26" ht="42" customHeight="1">
      <x:c r="A26" s="57" t="n">
        <x:v>21</x:v>
      </x:c>
      <x:c r="B26" s="42" t="str">
        <x:v>Hybrid search and custom scoring</x:v>
      </x:c>
      <x:c r="C26" s="63" t="n">
        <x:v>1</x:v>
      </x:c>
      <x:c r="D26" s="42" t="str">
        <x:v>Layer 1 — Data and RAG foundations</x:v>
      </x:c>
      <x:c r="E26" s="42" t="str">
        <x:v>Official skill-derived</x:v>
      </x:c>
      <x:c r="F26" s="42" t="str">
        <x:v>1.5.4; 4.2.2</x:v>
      </x:c>
      <x:c r="G26" s="42" t="str">
        <x:v>1.5 Design retrieval mechanisms for FM augmentation; 4.2 Optimize application performance</x:v>
      </x:c>
      <x:c r="H26" s="42" t="str">
        <x:v>19, 20</x:v>
      </x:c>
      <x:c r="I26" s="42" t="str">
        <x:v>16</x:v>
      </x:c>
      <x:c r="J26" s="63" t="str">
        <x:f>IF(AND(H26="",I26=""),"None",IF(I26="","Hard","Mixed"))</x:f>
        <x:v>Mixed</x:v>
      </x:c>
      <x:c r="K26" s="63" t="str">
        <x:v>Level 4 — Select/Diagnose</x:v>
      </x:c>
      <x:c r="L26" s="63" t="str">
        <x:v>Hard</x:v>
      </x:c>
      <x:c r="M26" s="42" t="str">
        <x:v>Complete an independent hands-on task and explain the key implementation decisions</x:v>
      </x:c>
      <x:c r="N26" s="42" t="str">
        <x:v>Procedural; Causal; Conditional</x:v>
      </x:c>
      <x:c r="O26" s="42" t="str">
        <x:v>Keyword, vector, and hybrid retrieval bake-off</x:v>
      </x:c>
      <x:c r="P26" s="43" t="str">
        <x:v>https://docs.aws.amazon.com/aws-certification/latest/ai-professional-01/ai-professional-01.html</x:v>
      </x:c>
    </x:row>
    <x:row r="27" ht="42" customHeight="1">
      <x:c r="A27" s="57" t="n">
        <x:v>22</x:v>
      </x:c>
      <x:c r="B27" s="42" t="str">
        <x:v>Reranking</x:v>
      </x:c>
      <x:c r="C27" s="63" t="n">
        <x:v>1</x:v>
      </x:c>
      <x:c r="D27" s="42" t="str">
        <x:v>Layer 1 — Data and RAG foundations</x:v>
      </x:c>
      <x:c r="E27" s="42" t="str">
        <x:v>Official skill-derived</x:v>
      </x:c>
      <x:c r="F27" s="42" t="str">
        <x:v>1.5.4</x:v>
      </x:c>
      <x:c r="G27" s="42" t="str">
        <x:v>1.5 Design retrieval mechanisms for FM augmentation</x:v>
      </x:c>
      <x:c r="H27" s="42" t="str">
        <x:v>21</x:v>
      </x:c>
      <x:c r="I27" s="42" t="str">
        <x:v>18</x:v>
      </x:c>
      <x:c r="J27" s="63" t="str">
        <x:f>IF(AND(H27="",I27=""),"None",IF(I27="","Hard","Mixed"))</x:f>
        <x:v>Mixed</x:v>
      </x:c>
      <x:c r="K27" s="63" t="str">
        <x:v>Level 3 — Apply/Implement</x:v>
      </x:c>
      <x:c r="L27" s="63" t="str">
        <x:v>Soft</x:v>
      </x:c>
      <x:c r="M27" s="42" t="str">
        <x:v>Run representative queries, measure retrieval quality, and explain or correct one failure</x:v>
      </x:c>
      <x:c r="N27" s="42" t="str">
        <x:v>Procedural; Causal; Conditional</x:v>
      </x:c>
      <x:c r="O27" s="42" t="str">
        <x:v>Reranking experiment using relevance metrics</x:v>
      </x:c>
      <x:c r="P27" s="43" t="str">
        <x:v>https://docs.aws.amazon.com/aws-certification/latest/ai-professional-01/ai-professional-01-domain1.html</x:v>
      </x:c>
    </x:row>
    <x:row r="28" ht="42" customHeight="1">
      <x:c r="A28" s="57" t="n">
        <x:v>23</x:v>
      </x:c>
      <x:c r="B28" s="42" t="str">
        <x:v>Query expansion, decomposition, and transformation</x:v>
      </x:c>
      <x:c r="C28" s="63" t="n">
        <x:v>1</x:v>
      </x:c>
      <x:c r="D28" s="42" t="str">
        <x:v>Layer 1 — Data and RAG foundations</x:v>
      </x:c>
      <x:c r="E28" s="42" t="str">
        <x:v>Official skill-derived</x:v>
      </x:c>
      <x:c r="F28" s="42" t="str">
        <x:v>1.5.5</x:v>
      </x:c>
      <x:c r="G28" s="42" t="str">
        <x:v>1.5 Design retrieval mechanisms for FM augmentation</x:v>
      </x:c>
      <x:c r="H28" s="42" t="str">
        <x:v>9, 19, 20</x:v>
      </x:c>
      <x:c r="I28" s="42" t="str"/>
      <x:c r="J28" s="63" t="str">
        <x:f>IF(AND(H28="",I28=""),"None",IF(I28="","Hard","Mixed"))</x:f>
        <x:v>Hard</x:v>
      </x:c>
      <x:c r="K28" s="63" t="str">
        <x:v>Level 4 — Select/Diagnose</x:v>
      </x:c>
      <x:c r="L28" s="63" t="str">
        <x:v>Hard</x:v>
      </x:c>
      <x:c r="M28" s="42" t="str">
        <x:v>Complete an independent hands-on task and explain the key implementation decisions</x:v>
      </x:c>
      <x:c r="N28" s="42" t="str">
        <x:v>Conceptual; Procedural; Causal</x:v>
      </x:c>
      <x:c r="O28" s="42" t="str">
        <x:v>Query expansion and decomposition laboratory</x:v>
      </x:c>
      <x:c r="P28" s="43" t="str">
        <x:v>https://docs.aws.amazon.com/aws-certification/latest/ai-professional-01/ai-professional-01-domain1.html</x:v>
      </x:c>
    </x:row>
    <x:row r="29" ht="42" customHeight="1">
      <x:c r="A29" s="57" t="n">
        <x:v>24</x:v>
      </x:c>
      <x:c r="B29" s="42" t="str">
        <x:v>Vector-store ingestion, synchronization, refresh, and maintenance</x:v>
      </x:c>
      <x:c r="C29" s="63" t="n">
        <x:v>1</x:v>
      </x:c>
      <x:c r="D29" s="42" t="str">
        <x:v>Layer 1 — Data and RAG foundations</x:v>
      </x:c>
      <x:c r="E29" s="42" t="str">
        <x:v>Official skill-derived</x:v>
      </x:c>
      <x:c r="F29" s="42" t="str">
        <x:v>1.4.4; 1.4.5</x:v>
      </x:c>
      <x:c r="G29" s="42" t="str">
        <x:v>1.4 Design and implement vector store solutions</x:v>
      </x:c>
      <x:c r="H29" s="42" t="str">
        <x:v>11, 17, 20</x:v>
      </x:c>
      <x:c r="I29" s="42" t="str">
        <x:v>16</x:v>
      </x:c>
      <x:c r="J29" s="63" t="str">
        <x:f>IF(AND(H29="",I29=""),"None",IF(I29="","Hard","Mixed"))</x:f>
        <x:v>Mixed</x:v>
      </x:c>
      <x:c r="K29" s="63" t="str">
        <x:v>Level 3 — Apply/Implement</x:v>
      </x:c>
      <x:c r="L29" s="63" t="str">
        <x:v>Hard</x:v>
      </x:c>
      <x:c r="M29" s="42" t="str">
        <x:v>Run representative queries, measure retrieval quality, and explain or correct one failure</x:v>
      </x:c>
      <x:c r="N29" s="42" t="str">
        <x:v>Procedural; Causal; Strategic; Embedded</x:v>
      </x:c>
      <x:c r="O29" s="42" t="str">
        <x:v>Change-detection and synchronization laboratory</x:v>
      </x:c>
      <x:c r="P29" s="43" t="str">
        <x:v>https://docs.aws.amazon.com/aws-certification/latest/ai-professional-01/ai-professional-01-domain1.html</x:v>
      </x:c>
    </x:row>
    <x:row r="30" ht="42" customHeight="1">
      <x:c r="A30" s="57" t="n">
        <x:v>25</x:v>
      </x:c>
      <x:c r="B30" s="42" t="str">
        <x:v>Retrieval APIs, function interfaces, and MCP access</x:v>
      </x:c>
      <x:c r="C30" s="63" t="n">
        <x:v>1</x:v>
      </x:c>
      <x:c r="D30" s="42" t="str">
        <x:v>Layer 1 — Data and RAG foundations</x:v>
      </x:c>
      <x:c r="E30" s="42" t="str">
        <x:v>Official skill-derived</x:v>
      </x:c>
      <x:c r="F30" s="42" t="str">
        <x:v>1.5.6</x:v>
      </x:c>
      <x:c r="G30" s="42" t="str">
        <x:v>1.5 Design retrieval mechanisms for FM augmentation</x:v>
      </x:c>
      <x:c r="H30" s="42" t="str">
        <x:v>4, 19, 20</x:v>
      </x:c>
      <x:c r="I30" s="42" t="str">
        <x:v>6</x:v>
      </x:c>
      <x:c r="J30" s="63" t="str">
        <x:f>IF(AND(H30="",I30=""),"None",IF(I30="","Hard","Mixed"))</x:f>
        <x:v>Mixed</x:v>
      </x:c>
      <x:c r="K30" s="63" t="str">
        <x:v>Level 3 — Apply/Implement</x:v>
      </x:c>
      <x:c r="L30" s="63" t="str">
        <x:v>Hard</x:v>
      </x:c>
      <x:c r="M30" s="42" t="str">
        <x:v>Complete an agent/tool task, inspect its trace, and handle an injected tool or control failure</x:v>
      </x:c>
      <x:c r="N30" s="42" t="str">
        <x:v>Conceptual; Procedural; Embedded</x:v>
      </x:c>
      <x:c r="O30" s="42" t="str">
        <x:v>Function-calling and MCP retrieval-interface laboratory</x:v>
      </x:c>
      <x:c r="P30" s="43" t="str">
        <x:v>https://docs.aws.amazon.com/aws-certification/latest/ai-professional-01/ai-professional-01-domain1.html</x:v>
      </x:c>
    </x:row>
    <x:row r="31" ht="42" customHeight="1">
      <x:c r="A31" s="57" t="n">
        <x:v>26</x:v>
      </x:c>
      <x:c r="B31" s="42" t="str">
        <x:v>RAG quality evaluation and retrieval troubleshooting</x:v>
      </x:c>
      <x:c r="C31" s="63" t="n">
        <x:v>1</x:v>
      </x:c>
      <x:c r="D31" s="42" t="str">
        <x:v>Layer 1 — Data and RAG foundations</x:v>
      </x:c>
      <x:c r="E31" s="42" t="str">
        <x:v>Official skill-derived</x:v>
      </x:c>
      <x:c r="F31" s="42" t="str">
        <x:v>5.1.6; 5.2.4</x:v>
      </x:c>
      <x:c r="G31" s="42" t="str">
        <x:v>5.1 Implement evaluation systems for GenAI; 5.2 Troubleshoot GenAI applications</x:v>
      </x:c>
      <x:c r="H31" s="42" t="str">
        <x:v>10, 20, 21, 22, 23, 24, 25</x:v>
      </x:c>
      <x:c r="I31" s="42" t="str"/>
      <x:c r="J31" s="63" t="str">
        <x:f>IF(AND(H31="",I31=""),"None",IF(I31="","Hard","Mixed"))</x:f>
        <x:v>Hard</x:v>
      </x:c>
      <x:c r="K31" s="63" t="str">
        <x:v>Level 4 — Select/Diagnose</x:v>
      </x:c>
      <x:c r="L31" s="63" t="str">
        <x:v>Hard</x:v>
      </x:c>
      <x:c r="M31" s="42" t="str">
        <x:v>Broken-system exercise: isolate the first failing stage, correct it, and add a regression check</x:v>
      </x:c>
      <x:c r="N31" s="42" t="str">
        <x:v>Diagnostic/Causal; Procedural; Tacit</x:v>
      </x:c>
      <x:c r="O31" s="42" t="str">
        <x:v>Broken-RAG laboratory and root-cause analysis</x:v>
      </x:c>
      <x:c r="P31" s="43" t="str">
        <x:v>https://docs.aws.amazon.com/aws-certification/latest/ai-professional-01/ai-professional-01-domain5.html</x:v>
      </x:c>
    </x:row>
    <x:row r="32" ht="42" customHeight="1">
      <x:c r="A32" s="57" t="n">
        <x:v>27</x:v>
      </x:c>
      <x:c r="B32" s="42" t="str">
        <x:v>Conversation context, history, intent, and state management</x:v>
      </x:c>
      <x:c r="C32" s="63" t="n">
        <x:v>2</x:v>
      </x:c>
      <x:c r="D32" s="42" t="str">
        <x:v>Layer 2 — Prompt systems and application interaction</x:v>
      </x:c>
      <x:c r="E32" s="42" t="str">
        <x:v>Official skill-derived</x:v>
      </x:c>
      <x:c r="F32" s="42" t="str">
        <x:v>1.6.2</x:v>
      </x:c>
      <x:c r="G32" s="42" t="str">
        <x:v>1.6 Implement prompt engineering strategies and governance for FM interactions</x:v>
      </x:c>
      <x:c r="H32" s="42" t="str">
        <x:v>8, 9</x:v>
      </x:c>
      <x:c r="I32" s="42" t="str"/>
      <x:c r="J32" s="63" t="str">
        <x:f>IF(AND(H32="",I32=""),"None",IF(I32="","Hard","Mixed"))</x:f>
        <x:v>Hard</x:v>
      </x:c>
      <x:c r="K32" s="63" t="str">
        <x:v>Level 3 — Apply/Implement</x:v>
      </x:c>
      <x:c r="L32" s="63" t="str">
        <x:v>Hard</x:v>
      </x:c>
      <x:c r="M32" s="42" t="str">
        <x:v>Complete an independent hands-on task and explain the key implementation decisions</x:v>
      </x:c>
      <x:c r="N32" s="42" t="str">
        <x:v>Conceptual; Procedural; Conditional</x:v>
      </x:c>
      <x:c r="O32" s="42" t="str">
        <x:v>Stateful-chatbot lab with ambiguous-intent cases</x:v>
      </x:c>
      <x:c r="P32" s="43" t="str">
        <x:v>https://docs.aws.amazon.com/aws-certification/latest/ai-professional-01/ai-professional-01-domain1.html</x:v>
      </x:c>
    </x:row>
    <x:row r="33" ht="42" customHeight="1">
      <x:c r="A33" s="57" t="n">
        <x:v>28</x:v>
      </x:c>
      <x:c r="B33" s="42" t="str">
        <x:v>Advanced prompt engineering and iterative refinement</x:v>
      </x:c>
      <x:c r="C33" s="63" t="n">
        <x:v>2</x:v>
      </x:c>
      <x:c r="D33" s="42" t="str">
        <x:v>Layer 2 — Prompt systems and application interaction</x:v>
      </x:c>
      <x:c r="E33" s="42" t="str">
        <x:v>Official skill-derived</x:v>
      </x:c>
      <x:c r="F33" s="42" t="str">
        <x:v>1.6.5</x:v>
      </x:c>
      <x:c r="G33" s="42" t="str">
        <x:v>1.6 Implement prompt engineering strategies and governance for FM interactions</x:v>
      </x:c>
      <x:c r="H33" s="42" t="str">
        <x:v>9, 10, 27</x:v>
      </x:c>
      <x:c r="I33" s="42" t="str">
        <x:v>20</x:v>
      </x:c>
      <x:c r="J33" s="63" t="str">
        <x:f>IF(AND(H33="",I33=""),"None",IF(I33="","Hard","Mixed"))</x:f>
        <x:v>Mixed</x:v>
      </x:c>
      <x:c r="K33" s="63" t="str">
        <x:v>Level 3 — Apply/Implement</x:v>
      </x:c>
      <x:c r="L33" s="63" t="str">
        <x:v>Hard</x:v>
      </x:c>
      <x:c r="M33" s="42" t="str">
        <x:v>Improve a prompt against a fixed test set and demonstrate that no critical regression was introduced</x:v>
      </x:c>
      <x:c r="N33" s="42" t="str">
        <x:v>Procedural; Causal; Tacit</x:v>
      </x:c>
      <x:c r="O33" s="42" t="str">
        <x:v>Iterative prompt experiment and error-analysis journal</x:v>
      </x:c>
      <x:c r="P33" s="43" t="str">
        <x:v>https://docs.aws.amazon.com/aws-certification/latest/ai-professional-01/ai-professional-01-domain1.html</x:v>
      </x:c>
    </x:row>
    <x:row r="34" ht="42" customHeight="1">
      <x:c r="A34" s="57" t="n">
        <x:v>29</x:v>
      </x:c>
      <x:c r="B34" s="42" t="str">
        <x:v>Prompt versioning, repositories, approvals, and governance</x:v>
      </x:c>
      <x:c r="C34" s="63" t="n">
        <x:v>2</x:v>
      </x:c>
      <x:c r="D34" s="42" t="str">
        <x:v>Layer 2 — Prompt systems and application interaction</x:v>
      </x:c>
      <x:c r="E34" s="42" t="str">
        <x:v>Official skill-derived</x:v>
      </x:c>
      <x:c r="F34" s="42" t="str">
        <x:v>1.6.3</x:v>
      </x:c>
      <x:c r="G34" s="42" t="str">
        <x:v>1.6 Implement prompt engineering strategies and governance for FM interactions</x:v>
      </x:c>
      <x:c r="H34" s="42" t="str">
        <x:v>5, 28</x:v>
      </x:c>
      <x:c r="I34" s="42" t="str">
        <x:v>6</x:v>
      </x:c>
      <x:c r="J34" s="63" t="str">
        <x:f>IF(AND(H34="",I34=""),"None",IF(I34="","Hard","Mixed"))</x:f>
        <x:v>Mixed</x:v>
      </x:c>
      <x:c r="K34" s="63" t="str">
        <x:v>Level 3 — Apply/Implement</x:v>
      </x:c>
      <x:c r="L34" s="63" t="str">
        <x:v>Hard</x:v>
      </x:c>
      <x:c r="M34" s="42" t="str">
        <x:v>Map requirements to controls, owners, evidence, and escalation; justify unresolved risks</x:v>
      </x:c>
      <x:c r="N34" s="42" t="str">
        <x:v>Procedural; Normative; Institutional; Embedded</x:v>
      </x:c>
      <x:c r="O34" s="42" t="str">
        <x:v>Prompt versioning, approval, and audit workflow laboratory</x:v>
      </x:c>
      <x:c r="P34" s="43" t="str">
        <x:v>https://docs.aws.amazon.com/aws-certification/latest/ai-professional-01/ai-professional-01-domain1.html</x:v>
      </x:c>
    </x:row>
    <x:row r="35" ht="42" customHeight="1">
      <x:c r="A35" s="57" t="n">
        <x:v>30</x:v>
      </x:c>
      <x:c r="B35" s="42" t="str">
        <x:v>Prompt regression testing and quality assurance</x:v>
      </x:c>
      <x:c r="C35" s="63" t="n">
        <x:v>2</x:v>
      </x:c>
      <x:c r="D35" s="42" t="str">
        <x:v>Layer 2 — Prompt systems and application interaction</x:v>
      </x:c>
      <x:c r="E35" s="42" t="str">
        <x:v>Official skill-derived</x:v>
      </x:c>
      <x:c r="F35" s="42" t="str">
        <x:v>1.6.4; 5.1.4</x:v>
      </x:c>
      <x:c r="G35" s="42" t="str">
        <x:v>1.6 Implement prompt engineering strategies and governance for FM interactions; 5.1 Implement evaluation systems for GenAI</x:v>
      </x:c>
      <x:c r="H35" s="42" t="str">
        <x:v>10, 28, 29</x:v>
      </x:c>
      <x:c r="I35" s="42" t="str">
        <x:v>26</x:v>
      </x:c>
      <x:c r="J35" s="63" t="str">
        <x:f>IF(AND(H35="",I35=""),"None",IF(I35="","Hard","Mixed"))</x:f>
        <x:v>Mixed</x:v>
      </x:c>
      <x:c r="K35" s="63" t="str">
        <x:v>Level 3 — Apply/Implement</x:v>
      </x:c>
      <x:c r="L35" s="63" t="str">
        <x:v>Hard</x:v>
      </x:c>
      <x:c r="M35" s="42" t="str">
        <x:v>Improve a prompt against a fixed test set and demonstrate that no critical regression was introduced</x:v>
      </x:c>
      <x:c r="N35" s="42" t="str">
        <x:v>Procedural; Causal; Strategic</x:v>
      </x:c>
      <x:c r="O35" s="42" t="str">
        <x:v>Golden-set prompt regression suite</x:v>
      </x:c>
      <x:c r="P35" s="43" t="str">
        <x:v>https://docs.aws.amazon.com/aws-certification/latest/ai-professional-01/ai-professional-01.html</x:v>
      </x:c>
    </x:row>
    <x:row r="36" ht="42" customHeight="1">
      <x:c r="A36" s="57" t="n">
        <x:v>31</x:v>
      </x:c>
      <x:c r="B36" s="42" t="str">
        <x:v>Prompt chaining, branching, and Bedrock Prompt Flows</x:v>
      </x:c>
      <x:c r="C36" s="63" t="n">
        <x:v>2</x:v>
      </x:c>
      <x:c r="D36" s="42" t="str">
        <x:v>Layer 2 — Prompt systems and application interaction</x:v>
      </x:c>
      <x:c r="E36" s="42" t="str">
        <x:v>Official skill-derived</x:v>
      </x:c>
      <x:c r="F36" s="42" t="str">
        <x:v>1.6.6</x:v>
      </x:c>
      <x:c r="G36" s="42" t="str">
        <x:v>1.6 Implement prompt engineering strategies and governance for FM interactions</x:v>
      </x:c>
      <x:c r="H36" s="42" t="str">
        <x:v>28, 29, 30</x:v>
      </x:c>
      <x:c r="I36" s="42" t="str">
        <x:v>20</x:v>
      </x:c>
      <x:c r="J36" s="63" t="str">
        <x:f>IF(AND(H36="",I36=""),"None",IF(I36="","Hard","Mixed"))</x:f>
        <x:v>Mixed</x:v>
      </x:c>
      <x:c r="K36" s="63" t="str">
        <x:v>Level 3 — Apply/Implement</x:v>
      </x:c>
      <x:c r="L36" s="63" t="str">
        <x:v>Hard</x:v>
      </x:c>
      <x:c r="M36" s="42" t="str">
        <x:v>Improve a prompt against a fixed test set and demonstrate that no critical regression was introduced</x:v>
      </x:c>
      <x:c r="N36" s="42" t="str">
        <x:v>Conceptual; Procedural; Strategic; Embedded</x:v>
      </x:c>
      <x:c r="O36" s="42" t="str">
        <x:v>Build and test a branching Bedrock Prompt Flow</x:v>
      </x:c>
      <x:c r="P36" s="43" t="str">
        <x:v>https://docs.aws.amazon.com/aws-certification/latest/ai-professional-01/ai-professional-01-domain1.html</x:v>
      </x:c>
    </x:row>
    <x:row r="37" ht="42" customHeight="1">
      <x:c r="A37" s="57" t="n">
        <x:v>32</x:v>
      </x:c>
      <x:c r="B37" s="42" t="str">
        <x:v>Synchronous FM API integration</x:v>
      </x:c>
      <x:c r="C37" s="63" t="n">
        <x:v>2</x:v>
      </x:c>
      <x:c r="D37" s="42" t="str">
        <x:v>Layer 2 — Prompt systems and application interaction</x:v>
      </x:c>
      <x:c r="E37" s="42" t="str">
        <x:v>Official skill-derived</x:v>
      </x:c>
      <x:c r="F37" s="42" t="str">
        <x:v>2.4.1</x:v>
      </x:c>
      <x:c r="G37" s="42" t="str">
        <x:v>2.4 Implement FM API integrations</x:v>
      </x:c>
      <x:c r="H37" s="42" t="str">
        <x:v>4, 5, 8</x:v>
      </x:c>
      <x:c r="I37" s="42" t="str"/>
      <x:c r="J37" s="63" t="str">
        <x:f>IF(AND(H37="",I37=""),"None",IF(I37="","Hard","Mixed"))</x:f>
        <x:v>Hard</x:v>
      </x:c>
      <x:c r="K37" s="63" t="str">
        <x:v>Level 3 — Apply/Implement</x:v>
      </x:c>
      <x:c r="L37" s="63" t="str">
        <x:v>Hard</x:v>
      </x:c>
      <x:c r="M37" s="42" t="str">
        <x:v>Complete an independent integration task and handle one injected boundary or resilience failure</x:v>
      </x:c>
      <x:c r="N37" s="42" t="str">
        <x:v>Procedural; Embedded</x:v>
      </x:c>
      <x:c r="O37" s="42" t="str">
        <x:v>Synchronous FM API implementation laboratory</x:v>
      </x:c>
      <x:c r="P37" s="43" t="str">
        <x:v>https://docs.aws.amazon.com/aws-certification/latest/ai-professional-01/ai-professional-01-domain2.html</x:v>
      </x:c>
    </x:row>
    <x:row r="38" ht="42" customHeight="1">
      <x:c r="A38" s="57" t="n">
        <x:v>33</x:v>
      </x:c>
      <x:c r="B38" s="42" t="str">
        <x:v>Asynchronous FM processing</x:v>
      </x:c>
      <x:c r="C38" s="63" t="n">
        <x:v>2</x:v>
      </x:c>
      <x:c r="D38" s="42" t="str">
        <x:v>Layer 2 — Prompt systems and application interaction</x:v>
      </x:c>
      <x:c r="E38" s="42" t="str">
        <x:v>Official skill-derived</x:v>
      </x:c>
      <x:c r="F38" s="42" t="str">
        <x:v>2.4.1</x:v>
      </x:c>
      <x:c r="G38" s="42" t="str">
        <x:v>2.4 Implement FM API integrations</x:v>
      </x:c>
      <x:c r="H38" s="42" t="str">
        <x:v>4, 8, 32</x:v>
      </x:c>
      <x:c r="I38" s="42" t="str"/>
      <x:c r="J38" s="63" t="str">
        <x:f>IF(AND(H38="",I38=""),"None",IF(I38="","Hard","Mixed"))</x:f>
        <x:v>Hard</x:v>
      </x:c>
      <x:c r="K38" s="63" t="str">
        <x:v>Level 3 — Apply/Implement</x:v>
      </x:c>
      <x:c r="L38" s="63" t="str">
        <x:v>Hard</x:v>
      </x:c>
      <x:c r="M38" s="42" t="str">
        <x:v>Complete an independent integration task and handle one injected boundary or resilience failure</x:v>
      </x:c>
      <x:c r="N38" s="42" t="str">
        <x:v>Conceptual; Procedural; Conditional; Embedded</x:v>
      </x:c>
      <x:c r="O38" s="42" t="str">
        <x:v>Asynchronous queue and workflow laboratory</x:v>
      </x:c>
      <x:c r="P38" s="43" t="str">
        <x:v>https://docs.aws.amazon.com/aws-certification/latest/ai-professional-01/ai-professional-01-domain2.html</x:v>
      </x:c>
    </x:row>
    <x:row r="39" ht="42" customHeight="1">
      <x:c r="A39" s="57" t="n">
        <x:v>34</x:v>
      </x:c>
      <x:c r="B39" s="42" t="str">
        <x:v>Streaming responses, WebSockets, and server-sent events</x:v>
      </x:c>
      <x:c r="C39" s="63" t="n">
        <x:v>2</x:v>
      </x:c>
      <x:c r="D39" s="42" t="str">
        <x:v>Layer 2 — Prompt systems and application interaction</x:v>
      </x:c>
      <x:c r="E39" s="42" t="str">
        <x:v>Official skill-derived</x:v>
      </x:c>
      <x:c r="F39" s="42" t="str">
        <x:v>2.4.2</x:v>
      </x:c>
      <x:c r="G39" s="42" t="str">
        <x:v>2.4 Implement FM API integrations</x:v>
      </x:c>
      <x:c r="H39" s="42" t="str">
        <x:v>4, 8, 32</x:v>
      </x:c>
      <x:c r="I39" s="42" t="str"/>
      <x:c r="J39" s="63" t="str">
        <x:f>IF(AND(H39="",I39=""),"None",IF(I39="","Hard","Mixed"))</x:f>
        <x:v>Hard</x:v>
      </x:c>
      <x:c r="K39" s="63" t="str">
        <x:v>Level 3 — Apply/Implement</x:v>
      </x:c>
      <x:c r="L39" s="63" t="str">
        <x:v>Hard</x:v>
      </x:c>
      <x:c r="M39" s="42" t="str">
        <x:v>Complete an independent integration task and handle one injected boundary or resilience failure</x:v>
      </x:c>
      <x:c r="N39" s="42" t="str">
        <x:v>Procedural; Causal; Embedded</x:v>
      </x:c>
      <x:c r="O39" s="42" t="str">
        <x:v>Streaming API/UI laboratory with interruption testing</x:v>
      </x:c>
      <x:c r="P39" s="43" t="str">
        <x:v>https://docs.aws.amazon.com/aws-certification/latest/ai-professional-01/ai-professional-01-domain2.html</x:v>
      </x:c>
    </x:row>
    <x:row r="40" ht="42" customHeight="1">
      <x:c r="A40" s="57" t="n">
        <x:v>35</x:v>
      </x:c>
      <x:c r="B40" s="42" t="str">
        <x:v>Token limits, request validation, and response handling</x:v>
      </x:c>
      <x:c r="C40" s="63" t="n">
        <x:v>2</x:v>
      </x:c>
      <x:c r="D40" s="42" t="str">
        <x:v>Layer 2 — Prompt systems and application interaction</x:v>
      </x:c>
      <x:c r="E40" s="42" t="str">
        <x:v>Official skill-derived</x:v>
      </x:c>
      <x:c r="F40" s="42" t="str">
        <x:v>1.3.3; 2.5.1; 5.2.1</x:v>
      </x:c>
      <x:c r="G40" s="42" t="str">
        <x:v>1.3 Implement data validation and processing pipelines for FM consumption; 2.5 Implement application integration patterns and development tools; 5.2 Troubleshoot GenAI applications</x:v>
      </x:c>
      <x:c r="H40" s="42" t="str">
        <x:v>2, 8, 32</x:v>
      </x:c>
      <x:c r="I40" s="42" t="str"/>
      <x:c r="J40" s="63" t="str">
        <x:f>IF(AND(H40="",I40=""),"None",IF(I40="","Hard","Mixed"))</x:f>
        <x:v>Hard</x:v>
      </x:c>
      <x:c r="K40" s="63" t="str">
        <x:v>Level 3 — Apply/Implement</x:v>
      </x:c>
      <x:c r="L40" s="63" t="str">
        <x:v>Hard</x:v>
      </x:c>
      <x:c r="M40" s="42" t="str">
        <x:v>Complete an independent integration task and handle one injected boundary or resilience failure</x:v>
      </x:c>
      <x:c r="N40" s="42" t="str">
        <x:v>Declarative; Procedural; Causal</x:v>
      </x:c>
      <x:c r="O40" s="42" t="str">
        <x:v>Token, schema, and request-boundary tests</x:v>
      </x:c>
      <x:c r="P40" s="43" t="str">
        <x:v>https://docs.aws.amazon.com/aws-certification/latest/ai-professional-01/ai-professional-01.html</x:v>
      </x:c>
    </x:row>
    <x:row r="41" ht="42" customHeight="1">
      <x:c r="A41" s="57" t="n">
        <x:v>36</x:v>
      </x:c>
      <x:c r="B41" s="42" t="str">
        <x:v>Retries, exponential backoff, rate limiting, and timeouts</x:v>
      </x:c>
      <x:c r="C41" s="63" t="n">
        <x:v>2</x:v>
      </x:c>
      <x:c r="D41" s="42" t="str">
        <x:v>Layer 2 — Prompt systems and application interaction</x:v>
      </x:c>
      <x:c r="E41" s="42" t="str">
        <x:v>Official skill-derived</x:v>
      </x:c>
      <x:c r="F41" s="42" t="str">
        <x:v>2.4.3; 2.5.1</x:v>
      </x:c>
      <x:c r="G41" s="42" t="str">
        <x:v>2.4 Implement FM API integrations; 2.5 Implement application integration patterns and development tools</x:v>
      </x:c>
      <x:c r="H41" s="42" t="str">
        <x:v>32, 35</x:v>
      </x:c>
      <x:c r="I41" s="42" t="str"/>
      <x:c r="J41" s="63" t="str">
        <x:f>IF(AND(H41="",I41=""),"None",IF(I41="","Hard","Mixed"))</x:f>
        <x:v>Hard</x:v>
      </x:c>
      <x:c r="K41" s="63" t="str">
        <x:v>Level 3 — Apply/Implement</x:v>
      </x:c>
      <x:c r="L41" s="63" t="str">
        <x:v>Hard</x:v>
      </x:c>
      <x:c r="M41" s="42" t="str">
        <x:v>Complete an independent hands-on task and explain the key implementation decisions</x:v>
      </x:c>
      <x:c r="N41" s="42" t="str">
        <x:v>Procedural; Causal; Conditional</x:v>
      </x:c>
      <x:c r="O41" s="42" t="str">
        <x:v>Throttling simulation and retry/backoff laboratory</x:v>
      </x:c>
      <x:c r="P41" s="43" t="str">
        <x:v>https://docs.aws.amazon.com/aws-certification/latest/ai-professional-01/ai-professional-01-domain2.html</x:v>
      </x:c>
    </x:row>
    <x:row r="42" ht="42" customHeight="1">
      <x:c r="A42" s="57" t="n">
        <x:v>37</x:v>
      </x:c>
      <x:c r="B42" s="42" t="str">
        <x:v>Fallbacks, circuit breakers, and graceful degradation</x:v>
      </x:c>
      <x:c r="C42" s="63" t="n">
        <x:v>2</x:v>
      </x:c>
      <x:c r="D42" s="42" t="str">
        <x:v>Layer 2 — Prompt systems and application interaction</x:v>
      </x:c>
      <x:c r="E42" s="42" t="str">
        <x:v>Official skill-derived</x:v>
      </x:c>
      <x:c r="F42" s="42" t="str">
        <x:v>1.2.3; 2.4.3</x:v>
      </x:c>
      <x:c r="G42" s="42" t="str">
        <x:v>1.2 Select and configure FMs; 2.4 Implement FM API integrations</x:v>
      </x:c>
      <x:c r="H42" s="42" t="str">
        <x:v>36</x:v>
      </x:c>
      <x:c r="I42" s="42" t="str"/>
      <x:c r="J42" s="63" t="str">
        <x:f>IF(AND(H42="",I42=""),"None",IF(I42="","Hard","Mixed"))</x:f>
        <x:v>Hard</x:v>
      </x:c>
      <x:c r="K42" s="63" t="str">
        <x:v>Level 4 — Select/Diagnose</x:v>
      </x:c>
      <x:c r="L42" s="63" t="str">
        <x:v>Hard</x:v>
      </x:c>
      <x:c r="M42" s="42" t="str">
        <x:v>Complete an independent hands-on task and explain the key implementation decisions</x:v>
      </x:c>
      <x:c r="N42" s="42" t="str">
        <x:v>Conceptual; Procedural; Causal; Strategic</x:v>
      </x:c>
      <x:c r="O42" s="42" t="str">
        <x:v>Failure injection and fallback-design exercise</x:v>
      </x:c>
      <x:c r="P42" s="43" t="str">
        <x:v>https://docs.aws.amazon.com/aws-certification/latest/ai-professional-01/ai-professional-01.html</x:v>
      </x:c>
    </x:row>
    <x:row r="43" ht="42" customHeight="1">
      <x:c r="A43" s="57" t="n">
        <x:v>38</x:v>
      </x:c>
      <x:c r="B43" s="42" t="str">
        <x:v>Distributed tracing and FM API observability</x:v>
      </x:c>
      <x:c r="C43" s="63" t="n">
        <x:v>2</x:v>
      </x:c>
      <x:c r="D43" s="42" t="str">
        <x:v>Layer 2 — Prompt systems and application interaction</x:v>
      </x:c>
      <x:c r="E43" s="42" t="str">
        <x:v>Official skill-derived</x:v>
      </x:c>
      <x:c r="F43" s="42" t="str">
        <x:v>2.4.3; 2.5.6; 4.3.1</x:v>
      </x:c>
      <x:c r="G43" s="42" t="str">
        <x:v>2.4 Implement FM API integrations; 2.5 Implement application integration patterns and development tools; 4.3 Implement monitoring systems for GenAI applications</x:v>
      </x:c>
      <x:c r="H43" s="42" t="str">
        <x:v>3, 32, 36</x:v>
      </x:c>
      <x:c r="I43" s="42" t="str">
        <x:v>10</x:v>
      </x:c>
      <x:c r="J43" s="63" t="str">
        <x:f>IF(AND(H43="",I43=""),"None",IF(I43="","Hard","Mixed"))</x:f>
        <x:v>Mixed</x:v>
      </x:c>
      <x:c r="K43" s="63" t="str">
        <x:v>Level 3 — Apply/Implement</x:v>
      </x:c>
      <x:c r="L43" s="63" t="str">
        <x:v>Hard</x:v>
      </x:c>
      <x:c r="M43" s="42" t="str">
        <x:v>Instrument the system, detect an injected anomaly, and identify the affected component</x:v>
      </x:c>
      <x:c r="N43" s="42" t="str">
        <x:v>Procedural; Diagnostic/Causal; Embedded</x:v>
      </x:c>
      <x:c r="O43" s="42" t="str">
        <x:v>Distributed-trace implementation and analysis</x:v>
      </x:c>
      <x:c r="P43" s="43" t="str">
        <x:v>https://docs.aws.amazon.com/aws-certification/latest/ai-professional-01/ai-professional-01.html</x:v>
      </x:c>
    </x:row>
    <x:row r="44" ht="42" customHeight="1">
      <x:c r="A44" s="57" t="n">
        <x:v>39</x:v>
      </x:c>
      <x:c r="B44" s="42" t="str">
        <x:v>Detailed model benchmarking and capability evaluation</x:v>
      </x:c>
      <x:c r="C44" s="63" t="n">
        <x:v>3</x:v>
      </x:c>
      <x:c r="D44" s="42" t="str">
        <x:v>Layer 3 — Models, routing, and deployment</x:v>
      </x:c>
      <x:c r="E44" s="42" t="str">
        <x:v>Official skill-derived</x:v>
      </x:c>
      <x:c r="F44" s="42" t="str">
        <x:v>1.2.1; 5.1.2</x:v>
      </x:c>
      <x:c r="G44" s="42" t="str">
        <x:v>1.2 Select and configure FMs; 5.1 Implement evaluation systems for GenAI</x:v>
      </x:c>
      <x:c r="H44" s="42" t="str">
        <x:v>7, 10</x:v>
      </x:c>
      <x:c r="I44" s="42" t="str">
        <x:v>8</x:v>
      </x:c>
      <x:c r="J44" s="63" t="str">
        <x:f>IF(AND(H44="",I44=""),"None",IF(I44="","Hard","Mixed"))</x:f>
        <x:v>Mixed</x:v>
      </x:c>
      <x:c r="K44" s="63" t="str">
        <x:v>Level 4 — Select/Diagnose</x:v>
      </x:c>
      <x:c r="L44" s="63" t="str">
        <x:v>Hard</x:v>
      </x:c>
      <x:c r="M44" s="42" t="str">
        <x:v>Build or apply an evaluation set, interpret results, and make a justified release or model decision</x:v>
      </x:c>
      <x:c r="N44" s="42" t="str">
        <x:v>Declarative; Conceptual; Conditional</x:v>
      </x:c>
      <x:c r="O44" s="42" t="str">
        <x:v>Benchmark design and model scorecard exercise</x:v>
      </x:c>
      <x:c r="P44" s="43" t="str">
        <x:v>https://docs.aws.amazon.com/aws-certification/latest/ai-professional-01/ai-professional-01.html</x:v>
      </x:c>
    </x:row>
    <x:row r="45" ht="42" customHeight="1">
      <x:c r="A45" s="57" t="n">
        <x:v>40</x:v>
      </x:c>
      <x:c r="B45" s="42" t="str">
        <x:v>Cost–quality–latency model-selection trade-offs</x:v>
      </x:c>
      <x:c r="C45" s="63" t="n">
        <x:v>3</x:v>
      </x:c>
      <x:c r="D45" s="42" t="str">
        <x:v>Layer 3 — Models, routing, and deployment</x:v>
      </x:c>
      <x:c r="E45" s="42" t="str">
        <x:v>Official skill-derived</x:v>
      </x:c>
      <x:c r="F45" s="42" t="str">
        <x:v>1.2.1; 2.2.3; 4.1.2; 5.1.2</x:v>
      </x:c>
      <x:c r="G45" s="42" t="str">
        <x:v>1.2 Select and configure FMs; 2.2 Implement model deployment strategies; 4.1 Implement cost optimization and resource efficiency strategies; 5.1 Implement evaluation systems for GenAI</x:v>
      </x:c>
      <x:c r="H45" s="42" t="str">
        <x:v>2, 7, 10, 39</x:v>
      </x:c>
      <x:c r="I45" s="42" t="str"/>
      <x:c r="J45" s="63" t="str">
        <x:f>IF(AND(H45="",I45=""),"None",IF(I45="","Hard","Mixed"))</x:f>
        <x:v>Hard</x:v>
      </x:c>
      <x:c r="K45" s="63" t="str">
        <x:v>Level 4 — Select/Diagnose</x:v>
      </x:c>
      <x:c r="L45" s="63" t="str">
        <x:v>Hard</x:v>
      </x:c>
      <x:c r="M45" s="42" t="str">
        <x:v>Benchmark a baseline, apply one justified change, and explain the measured quality/cost/performance effect</x:v>
      </x:c>
      <x:c r="N45" s="42" t="str">
        <x:v>Causal; Conditional; Strategic</x:v>
      </x:c>
      <x:c r="O45" s="42" t="str">
        <x:v>Quality-cost-latency trade-off scenarios and decision matrix</x:v>
      </x:c>
      <x:c r="P45" s="43" t="str">
        <x:v>https://docs.aws.amazon.com/aws-certification/latest/ai-professional-01/ai-professional-01.html</x:v>
      </x:c>
    </x:row>
    <x:row r="46" ht="42" customHeight="1">
      <x:c r="A46" s="57" t="n">
        <x:v>41</x:v>
      </x:c>
      <x:c r="B46" s="42" t="str">
        <x:v>Static and dynamic model routing</x:v>
      </x:c>
      <x:c r="C46" s="63" t="n">
        <x:v>3</x:v>
      </x:c>
      <x:c r="D46" s="42" t="str">
        <x:v>Layer 3 — Models, routing, and deployment</x:v>
      </x:c>
      <x:c r="E46" s="42" t="str">
        <x:v>Official skill-derived</x:v>
      </x:c>
      <x:c r="F46" s="42" t="str">
        <x:v>1.2.2; 2.4.4</x:v>
      </x:c>
      <x:c r="G46" s="42" t="str">
        <x:v>1.2 Select and configure FMs; 2.4 Implement FM API integrations</x:v>
      </x:c>
      <x:c r="H46" s="42" t="str">
        <x:v>32, 39, 40</x:v>
      </x:c>
      <x:c r="I46" s="42" t="str"/>
      <x:c r="J46" s="63" t="str">
        <x:f>IF(AND(H46="",I46=""),"None",IF(I46="","Hard","Mixed"))</x:f>
        <x:v>Hard</x:v>
      </x:c>
      <x:c r="K46" s="63" t="str">
        <x:v>Level 3 — Apply/Implement</x:v>
      </x:c>
      <x:c r="L46" s="63" t="str">
        <x:v>Hard</x:v>
      </x:c>
      <x:c r="M46" s="42" t="str">
        <x:v>Choose among plausible models or routes using evidence and explain why alternatives are inferior</x:v>
      </x:c>
      <x:c r="N46" s="42" t="str">
        <x:v>Conceptual; Procedural; Conditional; Strategic</x:v>
      </x:c>
      <x:c r="O46" s="42" t="str">
        <x:v>Implement routing policies and solve routing scenarios</x:v>
      </x:c>
      <x:c r="P46" s="43" t="str">
        <x:v>https://docs.aws.amazon.com/aws-certification/latest/ai-professional-01/ai-professional-01.html</x:v>
      </x:c>
    </x:row>
    <x:row r="47" ht="42" customHeight="1">
      <x:c r="A47" s="57" t="n">
        <x:v>42</x:v>
      </x:c>
      <x:c r="B47" s="42" t="str">
        <x:v>Model cascading and specialized-model selection</x:v>
      </x:c>
      <x:c r="C47" s="63" t="n">
        <x:v>3</x:v>
      </x:c>
      <x:c r="D47" s="42" t="str">
        <x:v>Layer 3 — Models, routing, and deployment</x:v>
      </x:c>
      <x:c r="E47" s="42" t="str">
        <x:v>Official skill-derived</x:v>
      </x:c>
      <x:c r="F47" s="42" t="str">
        <x:v>2.1.4; 2.2.3</x:v>
      </x:c>
      <x:c r="G47" s="42" t="str">
        <x:v>2.1 Implement agentic AI solutions and tool integrations; 2.2 Implement model deployment strategies</x:v>
      </x:c>
      <x:c r="H47" s="42" t="str">
        <x:v>40, 41</x:v>
      </x:c>
      <x:c r="I47" s="42" t="str"/>
      <x:c r="J47" s="63" t="str">
        <x:f>IF(AND(H47="",I47=""),"None",IF(I47="","Hard","Mixed"))</x:f>
        <x:v>Hard</x:v>
      </x:c>
      <x:c r="K47" s="63" t="str">
        <x:v>Level 4 — Select/Diagnose</x:v>
      </x:c>
      <x:c r="L47" s="63" t="str">
        <x:v>Soft</x:v>
      </x:c>
      <x:c r="M47" s="42" t="str">
        <x:v>Choose among plausible models or routes using evidence and explain why alternatives are inferior</x:v>
      </x:c>
      <x:c r="N47" s="42" t="str">
        <x:v>Conceptual; Causal; Conditional; Strategic</x:v>
      </x:c>
      <x:c r="O47" s="42" t="str">
        <x:v>Model-cascade experiment and quality-cost comparison</x:v>
      </x:c>
      <x:c r="P47" s="43" t="str">
        <x:v>https://docs.aws.amazon.com/aws-certification/latest/ai-professional-01/ai-professional-01-domain2.html</x:v>
      </x:c>
    </x:row>
    <x:row r="48" ht="42" customHeight="1">
      <x:c r="A48" s="57" t="n">
        <x:v>43</x:v>
      </x:c>
      <x:c r="B48" s="42" t="str">
        <x:v>Cross-Region inference and model resilience</x:v>
      </x:c>
      <x:c r="C48" s="63" t="n">
        <x:v>3</x:v>
      </x:c>
      <x:c r="D48" s="42" t="str">
        <x:v>Layer 3 — Models, routing, and deployment</x:v>
      </x:c>
      <x:c r="E48" s="42" t="str">
        <x:v>Official skill-derived</x:v>
      </x:c>
      <x:c r="F48" s="42" t="str">
        <x:v>1.2.3</x:v>
      </x:c>
      <x:c r="G48" s="42" t="str">
        <x:v>1.2 Select and configure FMs</x:v>
      </x:c>
      <x:c r="H48" s="42" t="str">
        <x:v>37, 41</x:v>
      </x:c>
      <x:c r="I48" s="42" t="str"/>
      <x:c r="J48" s="63" t="str">
        <x:f>IF(AND(H48="",I48=""),"None",IF(I48="","Hard","Mixed"))</x:f>
        <x:v>Hard</x:v>
      </x:c>
      <x:c r="K48" s="63" t="str">
        <x:v>Level 4 — Select/Diagnose</x:v>
      </x:c>
      <x:c r="L48" s="63" t="str">
        <x:v>Hard</x:v>
      </x:c>
      <x:c r="M48" s="42" t="str">
        <x:v>Complete an independent hands-on task and explain the key implementation decisions</x:v>
      </x:c>
      <x:c r="N48" s="42" t="str">
        <x:v>Conceptual; Causal; Strategic; Embedded</x:v>
      </x:c>
      <x:c r="O48" s="42" t="str">
        <x:v>Regional-failure simulation and resilience design</x:v>
      </x:c>
      <x:c r="P48" s="43" t="str">
        <x:v>https://docs.aws.amazon.com/aws-certification/latest/ai-professional-01/ai-professional-01-domain1.html</x:v>
      </x:c>
    </x:row>
    <x:row r="49" ht="42" customHeight="1">
      <x:c r="A49" s="57" t="n">
        <x:v>44</x:v>
      </x:c>
      <x:c r="B49" s="42" t="str">
        <x:v>On-demand and provisioned-throughput deployment</x:v>
      </x:c>
      <x:c r="C49" s="63" t="n">
        <x:v>3</x:v>
      </x:c>
      <x:c r="D49" s="42" t="str">
        <x:v>Layer 3 — Models, routing, and deployment</x:v>
      </x:c>
      <x:c r="E49" s="42" t="str">
        <x:v>Official skill-derived</x:v>
      </x:c>
      <x:c r="F49" s="42" t="str">
        <x:v>2.2.1</x:v>
      </x:c>
      <x:c r="G49" s="42" t="str">
        <x:v>2.2 Implement model deployment strategies</x:v>
      </x:c>
      <x:c r="H49" s="42" t="str">
        <x:v>7, 8, 32, 40</x:v>
      </x:c>
      <x:c r="I49" s="42" t="str"/>
      <x:c r="J49" s="63" t="str">
        <x:f>IF(AND(H49="",I49=""),"None",IF(I49="","Hard","Mixed"))</x:f>
        <x:v>Hard</x:v>
      </x:c>
      <x:c r="K49" s="63" t="str">
        <x:v>Level 3 — Apply/Implement</x:v>
      </x:c>
      <x:c r="L49" s="63" t="str">
        <x:v>Hard</x:v>
      </x:c>
      <x:c r="M49" s="42" t="str">
        <x:v>Benchmark a baseline, apply one justified change, and explain the measured quality/cost/performance effect</x:v>
      </x:c>
      <x:c r="N49" s="42" t="str">
        <x:v>Declarative; Procedural; Conditional; Embedded</x:v>
      </x:c>
      <x:c r="O49" s="42" t="str">
        <x:v>Deployment-mode lab and workload-selection scenarios</x:v>
      </x:c>
      <x:c r="P49" s="43" t="str">
        <x:v>https://docs.aws.amazon.com/aws-certification/latest/ai-professional-01/ai-professional-01-domain2.html</x:v>
      </x:c>
    </x:row>
    <x:row r="50" ht="42" customHeight="1">
      <x:c r="A50" s="57" t="n">
        <x:v>45</x:v>
      </x:c>
      <x:c r="B50" s="42" t="str">
        <x:v>SageMaker AI model endpoints</x:v>
      </x:c>
      <x:c r="C50" s="63" t="n">
        <x:v>3</x:v>
      </x:c>
      <x:c r="D50" s="42" t="str">
        <x:v>Layer 3 — Models, routing, and deployment</x:v>
      </x:c>
      <x:c r="E50" s="42" t="str">
        <x:v>Official skill-derived</x:v>
      </x:c>
      <x:c r="F50" s="42" t="str">
        <x:v>2.2.1</x:v>
      </x:c>
      <x:c r="G50" s="42" t="str">
        <x:v>2.2 Implement model deployment strategies</x:v>
      </x:c>
      <x:c r="H50" s="42" t="str">
        <x:v>3, 5, 44</x:v>
      </x:c>
      <x:c r="I50" s="42" t="str"/>
      <x:c r="J50" s="63" t="str">
        <x:f>IF(AND(H50="",I50=""),"None",IF(I50="","Hard","Mixed"))</x:f>
        <x:v>Hard</x:v>
      </x:c>
      <x:c r="K50" s="63" t="str">
        <x:v>Level 3 — Apply/Implement</x:v>
      </x:c>
      <x:c r="L50" s="63" t="str">
        <x:v>Soft</x:v>
      </x:c>
      <x:c r="M50" s="42" t="str">
        <x:v>Perform an independent deployment or pipeline task and verify rollback/recovery behavior</x:v>
      </x:c>
      <x:c r="N50" s="42" t="str">
        <x:v>Procedural; Embedded</x:v>
      </x:c>
      <x:c r="O50" s="42" t="str">
        <x:v>SageMaker endpoint deployment laboratory</x:v>
      </x:c>
      <x:c r="P50" s="43" t="str">
        <x:v>https://docs.aws.amazon.com/aws-certification/latest/ai-professional-01/ai-professional-01-domain2.html</x:v>
      </x:c>
    </x:row>
    <x:row r="51" ht="42" customHeight="1">
      <x:c r="A51" s="57" t="n">
        <x:v>46</x:v>
      </x:c>
      <x:c r="B51" s="42" t="str">
        <x:v>LLM container, GPU, memory, loading, and token-processing requirements</x:v>
      </x:c>
      <x:c r="C51" s="63" t="n">
        <x:v>3</x:v>
      </x:c>
      <x:c r="D51" s="42" t="str">
        <x:v>Layer 3 — Models, routing, and deployment</x:v>
      </x:c>
      <x:c r="E51" s="42" t="str">
        <x:v>Official skill-derived</x:v>
      </x:c>
      <x:c r="F51" s="42" t="str">
        <x:v>2.2.2</x:v>
      </x:c>
      <x:c r="G51" s="42" t="str">
        <x:v>2.2 Implement model deployment strategies</x:v>
      </x:c>
      <x:c r="H51" s="42" t="str">
        <x:v>4, 44, 45</x:v>
      </x:c>
      <x:c r="I51" s="42" t="str"/>
      <x:c r="J51" s="63" t="str">
        <x:f>IF(AND(H51="",I51=""),"None",IF(I51="","Hard","Mixed"))</x:f>
        <x:v>Hard</x:v>
      </x:c>
      <x:c r="K51" s="63" t="str">
        <x:v>Level 3 — Apply/Implement</x:v>
      </x:c>
      <x:c r="L51" s="63" t="str">
        <x:v>Soft</x:v>
      </x:c>
      <x:c r="M51" s="42" t="str">
        <x:v>Complete an independent hands-on task and explain the key implementation decisions</x:v>
      </x:c>
      <x:c r="N51" s="42" t="str">
        <x:v>Conceptual; Procedural; Causal; Embedded</x:v>
      </x:c>
      <x:c r="O51" s="42" t="str">
        <x:v>Container and resource-profiling laboratory</x:v>
      </x:c>
      <x:c r="P51" s="43" t="str">
        <x:v>https://docs.aws.amazon.com/aws-certification/latest/ai-professional-01/ai-professional-01-domain2.html</x:v>
      </x:c>
    </x:row>
    <x:row r="52" ht="42" customHeight="1">
      <x:c r="A52" s="57" t="n">
        <x:v>47</x:v>
      </x:c>
      <x:c r="B52" s="42" t="str">
        <x:v>Model customization, fine-tuning, LoRA, and adapters</x:v>
      </x:c>
      <x:c r="C52" s="63" t="n">
        <x:v>3</x:v>
      </x:c>
      <x:c r="D52" s="42" t="str">
        <x:v>Layer 3 — Models, routing, and deployment</x:v>
      </x:c>
      <x:c r="E52" s="42" t="str">
        <x:v>Official skill-derived</x:v>
      </x:c>
      <x:c r="F52" s="42" t="str">
        <x:v>1.2.4</x:v>
      </x:c>
      <x:c r="G52" s="42" t="str">
        <x:v>1.2 Select and configure FMs</x:v>
      </x:c>
      <x:c r="H52" s="42" t="str">
        <x:v>1, 7, 10, 39, 45</x:v>
      </x:c>
      <x:c r="I52" s="42" t="str">
        <x:v>46</x:v>
      </x:c>
      <x:c r="J52" s="63" t="str">
        <x:f>IF(AND(H52="",I52=""),"None",IF(I52="","Hard","Mixed"))</x:f>
        <x:v>Mixed</x:v>
      </x:c>
      <x:c r="K52" s="63" t="str">
        <x:v>Level 3 — Apply/Implement</x:v>
      </x:c>
      <x:c r="L52" s="63" t="str">
        <x:v>Soft</x:v>
      </x:c>
      <x:c r="M52" s="42" t="str">
        <x:v>Complete an independent hands-on task and explain the key implementation decisions</x:v>
      </x:c>
      <x:c r="N52" s="42" t="str">
        <x:v>Declarative; Conceptual; Procedural; Conditional</x:v>
      </x:c>
      <x:c r="O52" s="42" t="str">
        <x:v>Customization-method comparison and small LoRA/fine-tuning lab</x:v>
      </x:c>
      <x:c r="P52" s="43" t="str">
        <x:v>https://docs.aws.amazon.com/aws-certification/latest/ai-professional-01/ai-professional-01-domain1.html</x:v>
      </x:c>
    </x:row>
    <x:row r="53" ht="42" customHeight="1">
      <x:c r="A53" s="57" t="n">
        <x:v>48</x:v>
      </x:c>
      <x:c r="B53" s="42" t="str">
        <x:v>Model Registry, versioning, rollout, rollback, retirement, and lifecycle management</x:v>
      </x:c>
      <x:c r="C53" s="63" t="n">
        <x:v>3</x:v>
      </x:c>
      <x:c r="D53" s="42" t="str">
        <x:v>Layer 3 — Models, routing, and deployment</x:v>
      </x:c>
      <x:c r="E53" s="42" t="str">
        <x:v>Official skill-derived</x:v>
      </x:c>
      <x:c r="F53" s="42" t="str">
        <x:v>1.2.4; 5.1.9</x:v>
      </x:c>
      <x:c r="G53" s="42" t="str">
        <x:v>1.2 Select and configure FMs; 5.1 Implement evaluation systems for GenAI</x:v>
      </x:c>
      <x:c r="H53" s="42" t="str">
        <x:v>29, 44, 45, 47</x:v>
      </x:c>
      <x:c r="I53" s="42" t="str"/>
      <x:c r="J53" s="63" t="str">
        <x:f>IF(AND(H53="",I53=""),"None",IF(I53="","Hard","Mixed"))</x:f>
        <x:v>Hard</x:v>
      </x:c>
      <x:c r="K53" s="63" t="str">
        <x:v>Level 4 — Select/Diagnose</x:v>
      </x:c>
      <x:c r="L53" s="63" t="str">
        <x:v>Soft</x:v>
      </x:c>
      <x:c r="M53" s="42" t="str">
        <x:v>Perform an independent deployment or pipeline task and verify rollback/recovery behavior</x:v>
      </x:c>
      <x:c r="N53" s="42" t="str">
        <x:v>Procedural; Strategic; Institutional; Embedded</x:v>
      </x:c>
      <x:c r="O53" s="42" t="str">
        <x:v>Model lifecycle pipeline and rollback drill</x:v>
      </x:c>
      <x:c r="P53" s="43" t="str">
        <x:v>https://docs.aws.amazon.com/aws-certification/latest/ai-professional-01/ai-professional-01.html</x:v>
      </x:c>
    </x:row>
    <x:row r="54" ht="42" customHeight="1">
      <x:c r="A54" s="57" t="n">
        <x:v>49</x:v>
      </x:c>
      <x:c r="B54" s="42" t="str">
        <x:v>GenAI application API design</x:v>
      </x:c>
      <x:c r="C54" s="63" t="n">
        <x:v>4</x:v>
      </x:c>
      <x:c r="D54" s="42" t="str">
        <x:v>Layer 4 — Application and enterprise integration</x:v>
      </x:c>
      <x:c r="E54" s="42" t="str">
        <x:v>Official skill-derived</x:v>
      </x:c>
      <x:c r="F54" s="42" t="str">
        <x:v>2.5.1</x:v>
      </x:c>
      <x:c r="G54" s="42" t="str">
        <x:v>2.5 Implement application integration patterns and development tools</x:v>
      </x:c>
      <x:c r="H54" s="42" t="str">
        <x:v>32, 34, 35, 36, 37</x:v>
      </x:c>
      <x:c r="I54" s="42" t="str"/>
      <x:c r="J54" s="63" t="str">
        <x:f>IF(AND(H54="",I54=""),"None",IF(I54="","Hard","Mixed"))</x:f>
        <x:v>Hard</x:v>
      </x:c>
      <x:c r="K54" s="63" t="str">
        <x:v>Level 3 — Apply/Implement</x:v>
      </x:c>
      <x:c r="L54" s="63" t="str">
        <x:v>Hard</x:v>
      </x:c>
      <x:c r="M54" s="42" t="str">
        <x:v>Complete an independent integration task and handle one injected boundary or resilience failure</x:v>
      </x:c>
      <x:c r="N54" s="42" t="str">
        <x:v>Conceptual; Procedural; Conditional</x:v>
      </x:c>
      <x:c r="O54" s="42" t="str">
        <x:v>API-contract design followed by implementation</x:v>
      </x:c>
      <x:c r="P54" s="43" t="str">
        <x:v>https://docs.aws.amazon.com/aws-certification/latest/ai-professional-01/ai-professional-01-domain2.html</x:v>
      </x:c>
    </x:row>
    <x:row r="55" ht="42" customHeight="1">
      <x:c r="A55" s="57" t="n">
        <x:v>50</x:v>
      </x:c>
      <x:c r="B55" s="42" t="str">
        <x:v>UI, OpenAPI, Amplify, and low-code integration approaches</x:v>
      </x:c>
      <x:c r="C55" s="63" t="n">
        <x:v>4</x:v>
      </x:c>
      <x:c r="D55" s="42" t="str">
        <x:v>Layer 4 — Application and enterprise integration</x:v>
      </x:c>
      <x:c r="E55" s="42" t="str">
        <x:v>Official skill-derived</x:v>
      </x:c>
      <x:c r="F55" s="42" t="str">
        <x:v>2.5.2</x:v>
      </x:c>
      <x:c r="G55" s="42" t="str">
        <x:v>2.5 Implement application integration patterns and development tools</x:v>
      </x:c>
      <x:c r="H55" s="42" t="str">
        <x:v>49</x:v>
      </x:c>
      <x:c r="I55" s="42" t="str">
        <x:v>3</x:v>
      </x:c>
      <x:c r="J55" s="63" t="str">
        <x:f>IF(AND(H55="",I55=""),"None",IF(I55="","Hard","Mixed"))</x:f>
        <x:v>Mixed</x:v>
      </x:c>
      <x:c r="K55" s="63" t="str">
        <x:v>Level 3 — Apply/Implement</x:v>
      </x:c>
      <x:c r="L55" s="63" t="str">
        <x:v>Soft</x:v>
      </x:c>
      <x:c r="M55" s="42" t="str">
        <x:v>Complete an independent integration task and handle one injected boundary or resilience failure</x:v>
      </x:c>
      <x:c r="N55" s="42" t="str">
        <x:v>Declarative; Procedural; Embedded</x:v>
      </x:c>
      <x:c r="O55" s="42" t="str">
        <x:v>UI and API prototype laboratory</x:v>
      </x:c>
      <x:c r="P55" s="43" t="str">
        <x:v>https://docs.aws.amazon.com/aws-certification/latest/ai-professional-01/ai-professional-01-domain2.html</x:v>
      </x:c>
    </x:row>
    <x:row r="56" ht="42" customHeight="1">
      <x:c r="A56" s="57" t="n">
        <x:v>51</x:v>
      </x:c>
      <x:c r="B56" s="42" t="str">
        <x:v>Business-application and document-processing integration</x:v>
      </x:c>
      <x:c r="C56" s="63" t="n">
        <x:v>4</x:v>
      </x:c>
      <x:c r="D56" s="42" t="str">
        <x:v>Layer 4 — Application and enterprise integration</x:v>
      </x:c>
      <x:c r="E56" s="42" t="str">
        <x:v>Official skill-derived</x:v>
      </x:c>
      <x:c r="F56" s="42" t="str">
        <x:v>2.3.2; 2.5.3</x:v>
      </x:c>
      <x:c r="G56" s="42" t="str">
        <x:v>2.3 Design and implement enterprise integration architectures; 2.5 Implement application integration patterns and development tools</x:v>
      </x:c>
      <x:c r="H56" s="42" t="str">
        <x:v>20, 31, 49, 50</x:v>
      </x:c>
      <x:c r="I56" s="42" t="str"/>
      <x:c r="J56" s="63" t="str">
        <x:f>IF(AND(H56="",I56=""),"None",IF(I56="","Hard","Mixed"))</x:f>
        <x:v>Hard</x:v>
      </x:c>
      <x:c r="K56" s="63" t="str">
        <x:v>Level 3 — Apply/Implement</x:v>
      </x:c>
      <x:c r="L56" s="63" t="str">
        <x:v>Soft</x:v>
      </x:c>
      <x:c r="M56" s="42" t="str">
        <x:v>Complete an independent hands-on task and explain the key implementation decisions</x:v>
      </x:c>
      <x:c r="N56" s="42" t="str">
        <x:v>Conceptual; Procedural; Strategic; Embedded</x:v>
      </x:c>
      <x:c r="O56" s="42" t="str">
        <x:v>Business-workflow integration project</x:v>
      </x:c>
      <x:c r="P56" s="43" t="str">
        <x:v>https://docs.aws.amazon.com/aws-certification/latest/ai-professional-01/ai-professional-01-domain2.html</x:v>
      </x:c>
    </x:row>
    <x:row r="57" ht="42" customHeight="1">
      <x:c r="A57" s="57" t="n">
        <x:v>52</x:v>
      </x:c>
      <x:c r="B57" s="42" t="str">
        <x:v>Event-driven GenAI application patterns</x:v>
      </x:c>
      <x:c r="C57" s="63" t="n">
        <x:v>4</x:v>
      </x:c>
      <x:c r="D57" s="42" t="str">
        <x:v>Layer 4 — Application and enterprise integration</x:v>
      </x:c>
      <x:c r="E57" s="42" t="str">
        <x:v>Official skill-derived</x:v>
      </x:c>
      <x:c r="F57" s="42" t="str">
        <x:v>2.3.1; 2.3.2</x:v>
      </x:c>
      <x:c r="G57" s="42" t="str">
        <x:v>2.3 Design and implement enterprise integration architectures</x:v>
      </x:c>
      <x:c r="H57" s="42" t="str">
        <x:v>4, 33, 49</x:v>
      </x:c>
      <x:c r="I57" s="42" t="str"/>
      <x:c r="J57" s="63" t="str">
        <x:f>IF(AND(H57="",I57=""),"None",IF(I57="","Hard","Mixed"))</x:f>
        <x:v>Hard</x:v>
      </x:c>
      <x:c r="K57" s="63" t="str">
        <x:v>Level 3 — Apply/Implement</x:v>
      </x:c>
      <x:c r="L57" s="63" t="str">
        <x:v>Hard</x:v>
      </x:c>
      <x:c r="M57" s="42" t="str">
        <x:v>Complete an independent hands-on task and explain the key implementation decisions</x:v>
      </x:c>
      <x:c r="N57" s="42" t="str">
        <x:v>Conceptual; Procedural; Conditional</x:v>
      </x:c>
      <x:c r="O57" s="42" t="str">
        <x:v>Event-driven pattern comparison and implementation</x:v>
      </x:c>
      <x:c r="P57" s="43" t="str">
        <x:v>https://docs.aws.amazon.com/aws-certification/latest/ai-professional-01/ai-professional-01-domain2.html</x:v>
      </x:c>
    </x:row>
    <x:row r="58" ht="42" customHeight="1">
      <x:c r="A58" s="57" t="n">
        <x:v>53</x:v>
      </x:c>
      <x:c r="B58" s="42" t="str">
        <x:v>Legacy-system and enterprise-system integration</x:v>
      </x:c>
      <x:c r="C58" s="63" t="n">
        <x:v>4</x:v>
      </x:c>
      <x:c r="D58" s="42" t="str">
        <x:v>Layer 4 — Application and enterprise integration</x:v>
      </x:c>
      <x:c r="E58" s="42" t="str">
        <x:v>Official skill-derived</x:v>
      </x:c>
      <x:c r="F58" s="42" t="str">
        <x:v>2.3.1</x:v>
      </x:c>
      <x:c r="G58" s="42" t="str">
        <x:v>2.3 Design and implement enterprise integration architectures</x:v>
      </x:c>
      <x:c r="H58" s="42" t="str">
        <x:v>4, 5, 49, 52</x:v>
      </x:c>
      <x:c r="I58" s="42" t="str">
        <x:v>6</x:v>
      </x:c>
      <x:c r="J58" s="63" t="str">
        <x:f>IF(AND(H58="",I58=""),"None",IF(I58="","Hard","Mixed"))</x:f>
        <x:v>Mixed</x:v>
      </x:c>
      <x:c r="K58" s="63" t="str">
        <x:v>Level 4 — Select/Diagnose</x:v>
      </x:c>
      <x:c r="L58" s="63" t="str">
        <x:v>Hard</x:v>
      </x:c>
      <x:c r="M58" s="42" t="str">
        <x:v>Solve contrasting scenarios and justify both the selected and rejected approaches</x:v>
      </x:c>
      <x:c r="N58" s="42" t="str">
        <x:v>Conceptual; Conditional; Strategic; Institutional</x:v>
      </x:c>
      <x:c r="O58" s="42" t="str">
        <x:v>Legacy-integration case and architecture review</x:v>
      </x:c>
      <x:c r="P58" s="43" t="str">
        <x:v>https://docs.aws.amazon.com/aws-certification/latest/ai-professional-01/ai-professional-01-domain2.html</x:v>
      </x:c>
    </x:row>
    <x:row r="59" ht="42" customHeight="1">
      <x:c r="A59" s="57" t="n">
        <x:v>54</x:v>
      </x:c>
      <x:c r="B59" s="42" t="str">
        <x:v>Identity federation and role-based FM and data access</x:v>
      </x:c>
      <x:c r="C59" s="63" t="n">
        <x:v>4</x:v>
      </x:c>
      <x:c r="D59" s="42" t="str">
        <x:v>Layer 4 — Application and enterprise integration</x:v>
      </x:c>
      <x:c r="E59" s="42" t="str">
        <x:v>Official skill-derived</x:v>
      </x:c>
      <x:c r="F59" s="42" t="str">
        <x:v>2.3.3</x:v>
      </x:c>
      <x:c r="G59" s="42" t="str">
        <x:v>2.3 Design and implement enterprise integration architectures</x:v>
      </x:c>
      <x:c r="H59" s="42" t="str">
        <x:v>5, 49, 53</x:v>
      </x:c>
      <x:c r="I59" s="42" t="str"/>
      <x:c r="J59" s="63" t="str">
        <x:f>IF(AND(H59="",I59=""),"None",IF(I59="","Hard","Mixed"))</x:f>
        <x:v>Hard</x:v>
      </x:c>
      <x:c r="K59" s="63" t="str">
        <x:v>Level 3 — Apply/Implement</x:v>
      </x:c>
      <x:c r="L59" s="63" t="str">
        <x:v>Hard</x:v>
      </x:c>
      <x:c r="M59" s="42" t="str">
        <x:v>Complete an independent hands-on task and explain the key implementation decisions</x:v>
      </x:c>
      <x:c r="N59" s="42" t="str">
        <x:v>Conceptual; Procedural; Normative; Embedded</x:v>
      </x:c>
      <x:c r="O59" s="42" t="str">
        <x:v>Federation/RBAC lab with least-privilege tests</x:v>
      </x:c>
      <x:c r="P59" s="43" t="str">
        <x:v>https://docs.aws.amazon.com/aws-certification/latest/ai-professional-01/ai-professional-01-domain2.html</x:v>
      </x:c>
    </x:row>
    <x:row r="60" ht="42" customHeight="1">
      <x:c r="A60" s="57" t="n">
        <x:v>55</x:v>
      </x:c>
      <x:c r="B60" s="42" t="str">
        <x:v>Hybrid, on-premises, edge, and jurisdictional architectures</x:v>
      </x:c>
      <x:c r="C60" s="63" t="n">
        <x:v>4</x:v>
      </x:c>
      <x:c r="D60" s="42" t="str">
        <x:v>Layer 4 — Application and enterprise integration</x:v>
      </x:c>
      <x:c r="E60" s="42" t="str">
        <x:v>Official skill-derived</x:v>
      </x:c>
      <x:c r="F60" s="42" t="str">
        <x:v>2.3.4</x:v>
      </x:c>
      <x:c r="G60" s="42" t="str">
        <x:v>2.3 Design and implement enterprise integration architectures</x:v>
      </x:c>
      <x:c r="H60" s="42" t="str">
        <x:v>5, 53, 54</x:v>
      </x:c>
      <x:c r="I60" s="42" t="str"/>
      <x:c r="J60" s="63" t="str">
        <x:f>IF(AND(H60="",I60=""),"None",IF(I60="","Hard","Mixed"))</x:f>
        <x:v>Hard</x:v>
      </x:c>
      <x:c r="K60" s="63" t="str">
        <x:v>Level 5 — Design/Defend</x:v>
      </x:c>
      <x:c r="L60" s="63" t="str">
        <x:v>Hard</x:v>
      </x:c>
      <x:c r="M60" s="42" t="str">
        <x:v>Design a solution for a novel case and defend component choices, constraints, and residual risks</x:v>
      </x:c>
      <x:c r="N60" s="42" t="str">
        <x:v>Conceptual; Conditional; Strategic; Normative</x:v>
      </x:c>
      <x:c r="O60" s="42" t="str">
        <x:v>Hybrid and data-jurisdiction architecture case</x:v>
      </x:c>
      <x:c r="P60" s="43" t="str">
        <x:v>https://docs.aws.amazon.com/aws-certification/latest/ai-professional-01/ai-professional-01-domain2.html</x:v>
      </x:c>
    </x:row>
    <x:row r="61" ht="42" customHeight="1">
      <x:c r="A61" s="57" t="n">
        <x:v>56</x:v>
      </x:c>
      <x:c r="B61" s="42" t="str">
        <x:v>GenAI gateway architecture</x:v>
      </x:c>
      <x:c r="C61" s="63" t="n">
        <x:v>4</x:v>
      </x:c>
      <x:c r="D61" s="42" t="str">
        <x:v>Layer 4 — Application and enterprise integration</x:v>
      </x:c>
      <x:c r="E61" s="42" t="str">
        <x:v>Official skill-derived</x:v>
      </x:c>
      <x:c r="F61" s="42" t="str">
        <x:v>2.3.5</x:v>
      </x:c>
      <x:c r="G61" s="42" t="str">
        <x:v>2.3 Design and implement enterprise integration architectures</x:v>
      </x:c>
      <x:c r="H61" s="42" t="str">
        <x:v>53, 54, 55</x:v>
      </x:c>
      <x:c r="I61" s="42" t="str"/>
      <x:c r="J61" s="63" t="str">
        <x:f>IF(AND(H61="",I61=""),"None",IF(I61="","Hard","Mixed"))</x:f>
        <x:v>Hard</x:v>
      </x:c>
      <x:c r="K61" s="63" t="str">
        <x:v>Level 5 — Design/Defend</x:v>
      </x:c>
      <x:c r="L61" s="63" t="str">
        <x:v>Hard</x:v>
      </x:c>
      <x:c r="M61" s="42" t="str">
        <x:v>Design a solution for a novel case and defend component choices, constraints, and residual risks</x:v>
      </x:c>
      <x:c r="N61" s="42" t="str">
        <x:v>Conceptual; Strategic; Institutional; Embedded</x:v>
      </x:c>
      <x:c r="O61" s="42" t="str">
        <x:v>GenAI gateway architecture case and prototype</x:v>
      </x:c>
      <x:c r="P61" s="43" t="str">
        <x:v>https://docs.aws.amazon.com/aws-certification/latest/ai-professional-01/ai-professional-01-domain2.html</x:v>
      </x:c>
    </x:row>
    <x:row r="62" ht="42" customHeight="1">
      <x:c r="A62" s="57" t="n">
        <x:v>57</x:v>
      </x:c>
      <x:c r="B62" s="42" t="str">
        <x:v>Infrastructure as code</x:v>
      </x:c>
      <x:c r="C62" s="63" t="n">
        <x:v>4</x:v>
      </x:c>
      <x:c r="D62" s="42" t="str">
        <x:v>Layer 4 — Application and enterprise integration</x:v>
      </x:c>
      <x:c r="E62" s="42" t="str">
        <x:v>Official skill-derived</x:v>
      </x:c>
      <x:c r="F62" s="42" t="str">
        <x:v>2.3.5</x:v>
      </x:c>
      <x:c r="G62" s="42" t="str">
        <x:v>2.3 Design and implement enterprise integration architectures</x:v>
      </x:c>
      <x:c r="H62" s="42" t="str">
        <x:v>3, 4, 5</x:v>
      </x:c>
      <x:c r="I62" s="42" t="str"/>
      <x:c r="J62" s="63" t="str">
        <x:f>IF(AND(H62="",I62=""),"None",IF(I62="","Hard","Mixed"))</x:f>
        <x:v>Hard</x:v>
      </x:c>
      <x:c r="K62" s="63" t="str">
        <x:v>Level 3 — Apply/Implement</x:v>
      </x:c>
      <x:c r="L62" s="63" t="str">
        <x:v>Soft</x:v>
      </x:c>
      <x:c r="M62" s="42" t="str">
        <x:v>Perform an independent deployment or pipeline task and verify rollback/recovery behavior</x:v>
      </x:c>
      <x:c r="N62" s="42" t="str">
        <x:v>Procedural; Embedded</x:v>
      </x:c>
      <x:c r="O62" s="42" t="str">
        <x:v>Infrastructure-as-code build and teardown laboratory</x:v>
      </x:c>
      <x:c r="P62" s="43" t="str">
        <x:v>https://docs.aws.amazon.com/aws-certification/latest/ai-professional-01/ai-professional-01-domain2.html</x:v>
      </x:c>
    </x:row>
    <x:row r="63" ht="42" customHeight="1">
      <x:c r="A63" s="57" t="n">
        <x:v>58</x:v>
      </x:c>
      <x:c r="B63" s="42" t="str">
        <x:v>CI/CD for models, prompts, agents, and application components</x:v>
      </x:c>
      <x:c r="C63" s="63" t="n">
        <x:v>4</x:v>
      </x:c>
      <x:c r="D63" s="42" t="str">
        <x:v>Layer 4 — Application and enterprise integration</x:v>
      </x:c>
      <x:c r="E63" s="42" t="str">
        <x:v>Official skill-derived</x:v>
      </x:c>
      <x:c r="F63" s="42" t="str">
        <x:v>2.3.5</x:v>
      </x:c>
      <x:c r="G63" s="42" t="str">
        <x:v>2.3 Design and implement enterprise integration architectures</x:v>
      </x:c>
      <x:c r="H63" s="42" t="str">
        <x:v>29, 48, 49, 57</x:v>
      </x:c>
      <x:c r="I63" s="42" t="str"/>
      <x:c r="J63" s="63" t="str">
        <x:f>IF(AND(H63="",I63=""),"None",IF(I63="","Hard","Mixed"))</x:f>
        <x:v>Hard</x:v>
      </x:c>
      <x:c r="K63" s="63" t="str">
        <x:v>Level 3 — Apply/Implement</x:v>
      </x:c>
      <x:c r="L63" s="63" t="str">
        <x:v>Hard</x:v>
      </x:c>
      <x:c r="M63" s="42" t="str">
        <x:v>Improve a prompt against a fixed test set and demonstrate that no critical regression was introduced</x:v>
      </x:c>
      <x:c r="N63" s="42" t="str">
        <x:v>Conceptual; Procedural; Strategic; Embedded</x:v>
      </x:c>
      <x:c r="O63" s="42" t="str">
        <x:v>CI/CD pipeline implementation laboratory</x:v>
      </x:c>
      <x:c r="P63" s="43" t="str">
        <x:v>https://docs.aws.amazon.com/aws-certification/latest/ai-professional-01/ai-professional-01-domain2.html</x:v>
      </x:c>
    </x:row>
    <x:row r="64" ht="42" customHeight="1">
      <x:c r="A64" s="57" t="n">
        <x:v>59</x:v>
      </x:c>
      <x:c r="B64" s="42" t="str">
        <x:v>Automated testing, security scanning, deployment gates, and rollback</x:v>
      </x:c>
      <x:c r="C64" s="63" t="n">
        <x:v>4</x:v>
      </x:c>
      <x:c r="D64" s="42" t="str">
        <x:v>Layer 4 — Application and enterprise integration</x:v>
      </x:c>
      <x:c r="E64" s="42" t="str">
        <x:v>Official skill-derived</x:v>
      </x:c>
      <x:c r="F64" s="42" t="str">
        <x:v>2.3.5; 5.1.4; 5.1.9</x:v>
      </x:c>
      <x:c r="G64" s="42" t="str">
        <x:v>2.3 Design and implement enterprise integration architectures; 5.1 Implement evaluation systems for GenAI</x:v>
      </x:c>
      <x:c r="H64" s="42" t="str">
        <x:v>10, 30, 58</x:v>
      </x:c>
      <x:c r="I64" s="42" t="str"/>
      <x:c r="J64" s="63" t="str">
        <x:f>IF(AND(H64="",I64=""),"None",IF(I64="","Hard","Mixed"))</x:f>
        <x:v>Hard</x:v>
      </x:c>
      <x:c r="K64" s="63" t="str">
        <x:v>Level 3 — Apply/Implement</x:v>
      </x:c>
      <x:c r="L64" s="63" t="str">
        <x:v>Hard</x:v>
      </x:c>
      <x:c r="M64" s="42" t="str">
        <x:v>Perform an independent deployment or pipeline task and verify rollback/recovery behavior</x:v>
      </x:c>
      <x:c r="N64" s="42" t="str">
        <x:v>Procedural; Causal; Normative; Embedded</x:v>
      </x:c>
      <x:c r="O64" s="42" t="str">
        <x:v>Deployment-gate and rollback simulation</x:v>
      </x:c>
      <x:c r="P64" s="43" t="str">
        <x:v>https://docs.aws.amazon.com/aws-certification/latest/ai-professional-01/ai-professional-01.html</x:v>
      </x:c>
    </x:row>
    <x:row r="65" ht="42" customHeight="1">
      <x:c r="A65" s="57" t="n">
        <x:v>60</x:v>
      </x:c>
      <x:c r="B65" s="42" t="str">
        <x:v>GenAI developer tools and Amazon Q Developer</x:v>
      </x:c>
      <x:c r="C65" s="63" t="n">
        <x:v>4</x:v>
      </x:c>
      <x:c r="D65" s="42" t="str">
        <x:v>Layer 4 — Application and enterprise integration</x:v>
      </x:c>
      <x:c r="E65" s="42" t="str">
        <x:v>Official skill-derived</x:v>
      </x:c>
      <x:c r="F65" s="42" t="str">
        <x:v>2.5.4</x:v>
      </x:c>
      <x:c r="G65" s="42" t="str">
        <x:v>2.5 Implement application integration patterns and development tools</x:v>
      </x:c>
      <x:c r="H65" s="42" t="str">
        <x:v>3, 49, 58</x:v>
      </x:c>
      <x:c r="I65" s="42" t="str">
        <x:v>57</x:v>
      </x:c>
      <x:c r="J65" s="63" t="str">
        <x:f>IF(AND(H65="",I65=""),"None",IF(I65="","Hard","Mixed"))</x:f>
        <x:v>Mixed</x:v>
      </x:c>
      <x:c r="K65" s="63" t="str">
        <x:v>Level 3 — Apply/Implement</x:v>
      </x:c>
      <x:c r="L65" s="63" t="str">
        <x:v>Soft</x:v>
      </x:c>
      <x:c r="M65" s="42" t="str">
        <x:v>Complete an agent/tool task, inspect its trace, and handle an injected tool or control failure</x:v>
      </x:c>
      <x:c r="N65" s="42" t="str">
        <x:v>Procedural; Conditional; Embedded</x:v>
      </x:c>
      <x:c r="O65" s="42" t="str">
        <x:v>AI-assisted coding lab with critical code review</x:v>
      </x:c>
      <x:c r="P65" s="43" t="str">
        <x:v>https://docs.aws.amazon.com/aws-certification/latest/ai-professional-01/ai-professional-01-domain2.html</x:v>
      </x:c>
    </x:row>
    <x:row r="66" ht="42" customHeight="1">
      <x:c r="A66" s="57" t="n">
        <x:v>61</x:v>
      </x:c>
      <x:c r="B66" s="42" t="str">
        <x:v>Function calling and tool-interface design</x:v>
      </x:c>
      <x:c r="C66" s="63" t="n">
        <x:v>5</x:v>
      </x:c>
      <x:c r="D66" s="42" t="str">
        <x:v>Layer 5 — Tools and agentic AI</x:v>
      </x:c>
      <x:c r="E66" s="42" t="str">
        <x:v>Official skill-derived</x:v>
      </x:c>
      <x:c r="F66" s="42" t="str">
        <x:v>2.1.6</x:v>
      </x:c>
      <x:c r="G66" s="42" t="str">
        <x:v>2.1 Implement agentic AI solutions and tool integrations</x:v>
      </x:c>
      <x:c r="H66" s="42" t="str">
        <x:v>4, 8, 9, 32</x:v>
      </x:c>
      <x:c r="I66" s="42" t="str"/>
      <x:c r="J66" s="63" t="str">
        <x:f>IF(AND(H66="",I66=""),"None",IF(I66="","Hard","Mixed"))</x:f>
        <x:v>Hard</x:v>
      </x:c>
      <x:c r="K66" s="63" t="str">
        <x:v>Level 3 — Apply/Implement</x:v>
      </x:c>
      <x:c r="L66" s="63" t="str">
        <x:v>Hard</x:v>
      </x:c>
      <x:c r="M66" s="42" t="str">
        <x:v>Complete an agent/tool task, inspect its trace, and handle an injected tool or control failure</x:v>
      </x:c>
      <x:c r="N66" s="42" t="str">
        <x:v>Conceptual; Procedural</x:v>
      </x:c>
      <x:c r="O66" s="42" t="str">
        <x:v>Tool-schema design and function-calling laboratory</x:v>
      </x:c>
      <x:c r="P66" s="43" t="str">
        <x:v>https://docs.aws.amazon.com/aws-certification/latest/ai-professional-01/ai-professional-01-domain2.html</x:v>
      </x:c>
    </x:row>
    <x:row r="67" ht="42" customHeight="1">
      <x:c r="A67" s="57" t="n">
        <x:v>62</x:v>
      </x:c>
      <x:c r="B67" s="42" t="str">
        <x:v>Tool schemas, parameter validation, authorization, and error handling</x:v>
      </x:c>
      <x:c r="C67" s="63" t="n">
        <x:v>5</x:v>
      </x:c>
      <x:c r="D67" s="42" t="str">
        <x:v>Layer 5 — Tools and agentic AI</x:v>
      </x:c>
      <x:c r="E67" s="42" t="str">
        <x:v>Official skill-derived</x:v>
      </x:c>
      <x:c r="F67" s="42" t="str">
        <x:v>2.1.3; 2.1.6</x:v>
      </x:c>
      <x:c r="G67" s="42" t="str">
        <x:v>2.1 Implement agentic AI solutions and tool integrations</x:v>
      </x:c>
      <x:c r="H67" s="42" t="str">
        <x:v>5, 36, 61</x:v>
      </x:c>
      <x:c r="I67" s="42" t="str"/>
      <x:c r="J67" s="63" t="str">
        <x:f>IF(AND(H67="",I67=""),"None",IF(I67="","Hard","Mixed"))</x:f>
        <x:v>Hard</x:v>
      </x:c>
      <x:c r="K67" s="63" t="str">
        <x:v>Level 3 — Apply/Implement</x:v>
      </x:c>
      <x:c r="L67" s="63" t="str">
        <x:v>Hard</x:v>
      </x:c>
      <x:c r="M67" s="42" t="str">
        <x:v>Complete an agent/tool task, inspect its trace, and handle an injected tool or control failure</x:v>
      </x:c>
      <x:c r="N67" s="42" t="str">
        <x:v>Procedural; Causal; Normative</x:v>
      </x:c>
      <x:c r="O67" s="42" t="str">
        <x:v>Invalid, unsafe, and unauthorized tool-call tests</x:v>
      </x:c>
      <x:c r="P67" s="43" t="str">
        <x:v>https://docs.aws.amazon.com/aws-certification/latest/ai-professional-01/ai-professional-01-domain2.html</x:v>
      </x:c>
    </x:row>
    <x:row r="68" ht="42" customHeight="1">
      <x:c r="A68" s="57" t="n">
        <x:v>63</x:v>
      </x:c>
      <x:c r="B68" s="42" t="str">
        <x:v>MCP clients and servers</x:v>
      </x:c>
      <x:c r="C68" s="63" t="n">
        <x:v>5</x:v>
      </x:c>
      <x:c r="D68" s="42" t="str">
        <x:v>Layer 5 — Tools and agentic AI</x:v>
      </x:c>
      <x:c r="E68" s="42" t="str">
        <x:v>Official skill-derived</x:v>
      </x:c>
      <x:c r="F68" s="42" t="str">
        <x:v>1.5.6; 2.1.1; 2.1.7</x:v>
      </x:c>
      <x:c r="G68" s="42" t="str">
        <x:v>1.5 Design retrieval mechanisms for FM augmentation; 2.1 Implement agentic AI solutions and tool integrations</x:v>
      </x:c>
      <x:c r="H68" s="42" t="str">
        <x:v>25, 61, 62</x:v>
      </x:c>
      <x:c r="I68" s="42" t="str">
        <x:v>57</x:v>
      </x:c>
      <x:c r="J68" s="63" t="str">
        <x:f>IF(AND(H68="",I68=""),"None",IF(I68="","Hard","Mixed"))</x:f>
        <x:v>Mixed</x:v>
      </x:c>
      <x:c r="K68" s="63" t="str">
        <x:v>Level 3 — Apply/Implement</x:v>
      </x:c>
      <x:c r="L68" s="63" t="str">
        <x:v>Soft</x:v>
      </x:c>
      <x:c r="M68" s="42" t="str">
        <x:v>Complete an agent/tool task, inspect its trace, and handle an injected tool or control failure</x:v>
      </x:c>
      <x:c r="N68" s="42" t="str">
        <x:v>Conceptual; Procedural; Embedded</x:v>
      </x:c>
      <x:c r="O68" s="42" t="str">
        <x:v>Build an MCP client and server</x:v>
      </x:c>
      <x:c r="P68" s="43" t="str">
        <x:v>https://docs.aws.amazon.com/aws-certification/latest/ai-professional-01/ai-professional-01.html</x:v>
      </x:c>
    </x:row>
    <x:row r="69" ht="42" customHeight="1">
      <x:c r="A69" s="57" t="n">
        <x:v>64</x:v>
      </x:c>
      <x:c r="B69" s="42" t="str">
        <x:v>Single-agent architecture and orchestration</x:v>
      </x:c>
      <x:c r="C69" s="63" t="n">
        <x:v>5</x:v>
      </x:c>
      <x:c r="D69" s="42" t="str">
        <x:v>Layer 5 — Tools and agentic AI</x:v>
      </x:c>
      <x:c r="E69" s="42" t="str">
        <x:v>Official skill-derived</x:v>
      </x:c>
      <x:c r="F69" s="42" t="str">
        <x:v>2.1.1; 2.5.5</x:v>
      </x:c>
      <x:c r="G69" s="42" t="str">
        <x:v>2.1 Implement agentic AI solutions and tool integrations; 2.5 Implement application integration patterns and development tools</x:v>
      </x:c>
      <x:c r="H69" s="42" t="str">
        <x:v>27, 61, 62</x:v>
      </x:c>
      <x:c r="I69" s="42" t="str"/>
      <x:c r="J69" s="63" t="str">
        <x:f>IF(AND(H69="",I69=""),"None",IF(I69="","Hard","Mixed"))</x:f>
        <x:v>Hard</x:v>
      </x:c>
      <x:c r="K69" s="63" t="str">
        <x:v>Level 3 — Apply/Implement</x:v>
      </x:c>
      <x:c r="L69" s="63" t="str">
        <x:v>Hard</x:v>
      </x:c>
      <x:c r="M69" s="42" t="str">
        <x:v>Design a solution for a novel case and defend component choices, constraints, and residual risks</x:v>
      </x:c>
      <x:c r="N69" s="42" t="str">
        <x:v>Conceptual; Procedural; Strategic</x:v>
      </x:c>
      <x:c r="O69" s="42" t="str">
        <x:v>Single-agent mini-project</x:v>
      </x:c>
      <x:c r="P69" s="43" t="str">
        <x:v>https://docs.aws.amazon.com/aws-certification/latest/ai-professional-01/ai-professional-01-domain2.html</x:v>
      </x:c>
    </x:row>
    <x:row r="70" ht="42" customHeight="1">
      <x:c r="A70" s="57" t="n">
        <x:v>65</x:v>
      </x:c>
      <x:c r="B70" s="42" t="str">
        <x:v>Agent planning, task decomposition, and structured reasoning</x:v>
      </x:c>
      <x:c r="C70" s="63" t="n">
        <x:v>5</x:v>
      </x:c>
      <x:c r="D70" s="42" t="str">
        <x:v>Layer 5 — Tools and agentic AI</x:v>
      </x:c>
      <x:c r="E70" s="42" t="str">
        <x:v>Official skill-derived</x:v>
      </x:c>
      <x:c r="F70" s="42" t="str">
        <x:v>2.1.2</x:v>
      </x:c>
      <x:c r="G70" s="42" t="str">
        <x:v>2.1 Implement agentic AI solutions and tool integrations</x:v>
      </x:c>
      <x:c r="H70" s="42" t="str">
        <x:v>31, 64</x:v>
      </x:c>
      <x:c r="I70" s="42" t="str"/>
      <x:c r="J70" s="63" t="str">
        <x:f>IF(AND(H70="",I70=""),"None",IF(I70="","Hard","Mixed"))</x:f>
        <x:v>Hard</x:v>
      </x:c>
      <x:c r="K70" s="63" t="str">
        <x:v>Level 4 — Select/Diagnose</x:v>
      </x:c>
      <x:c r="L70" s="63" t="str">
        <x:v>Hard</x:v>
      </x:c>
      <x:c r="M70" s="42" t="str">
        <x:v>Complete an agent/tool task, inspect its trace, and handle an injected tool or control failure</x:v>
      </x:c>
      <x:c r="N70" s="42" t="str">
        <x:v>Conceptual; Procedural; Causal; Strategic</x:v>
      </x:c>
      <x:c r="O70" s="42" t="str">
        <x:v>Think-aloud decomposition and agent-workflow laboratory</x:v>
      </x:c>
      <x:c r="P70" s="43" t="str">
        <x:v>https://docs.aws.amazon.com/aws-certification/latest/ai-professional-01/ai-professional-01-domain2.html</x:v>
      </x:c>
    </x:row>
    <x:row r="71" ht="42" customHeight="1">
      <x:c r="A71" s="57" t="n">
        <x:v>66</x:v>
      </x:c>
      <x:c r="B71" s="42" t="str">
        <x:v>Agent memory and state management</x:v>
      </x:c>
      <x:c r="C71" s="63" t="n">
        <x:v>5</x:v>
      </x:c>
      <x:c r="D71" s="42" t="str">
        <x:v>Layer 5 — Tools and agentic AI</x:v>
      </x:c>
      <x:c r="E71" s="42" t="str">
        <x:v>Official skill-derived</x:v>
      </x:c>
      <x:c r="F71" s="42" t="str">
        <x:v>2.1.1</x:v>
      </x:c>
      <x:c r="G71" s="42" t="str">
        <x:v>2.1 Implement agentic AI solutions and tool integrations</x:v>
      </x:c>
      <x:c r="H71" s="42" t="str">
        <x:v>27, 64</x:v>
      </x:c>
      <x:c r="I71" s="42" t="str"/>
      <x:c r="J71" s="63" t="str">
        <x:f>IF(AND(H71="",I71=""),"None",IF(I71="","Hard","Mixed"))</x:f>
        <x:v>Hard</x:v>
      </x:c>
      <x:c r="K71" s="63" t="str">
        <x:v>Level 3 — Apply/Implement</x:v>
      </x:c>
      <x:c r="L71" s="63" t="str">
        <x:v>Hard</x:v>
      </x:c>
      <x:c r="M71" s="42" t="str">
        <x:v>Complete an agent/tool task, inspect its trace, and handle an injected tool or control failure</x:v>
      </x:c>
      <x:c r="N71" s="42" t="str">
        <x:v>Conceptual; Procedural; Causal</x:v>
      </x:c>
      <x:c r="O71" s="42" t="str">
        <x:v>Agent state and memory experiments</x:v>
      </x:c>
      <x:c r="P71" s="43" t="str">
        <x:v>https://docs.aws.amazon.com/aws-certification/latest/ai-professional-01/ai-professional-01-domain2.html</x:v>
      </x:c>
    </x:row>
    <x:row r="72" ht="42" customHeight="1">
      <x:c r="A72" s="57" t="n">
        <x:v>67</x:v>
      </x:c>
      <x:c r="B72" s="42" t="str">
        <x:v>Tool-use reliability and failure recovery</x:v>
      </x:c>
      <x:c r="C72" s="63" t="n">
        <x:v>5</x:v>
      </x:c>
      <x:c r="D72" s="42" t="str">
        <x:v>Layer 5 — Tools and agentic AI</x:v>
      </x:c>
      <x:c r="E72" s="42" t="str">
        <x:v>Official skill-derived</x:v>
      </x:c>
      <x:c r="F72" s="42" t="str">
        <x:v>2.1.6</x:v>
      </x:c>
      <x:c r="G72" s="42" t="str">
        <x:v>2.1 Implement agentic AI solutions and tool integrations</x:v>
      </x:c>
      <x:c r="H72" s="42" t="str">
        <x:v>36, 62, 64</x:v>
      </x:c>
      <x:c r="I72" s="42" t="str"/>
      <x:c r="J72" s="63" t="str">
        <x:f>IF(AND(H72="",I72=""),"None",IF(I72="","Hard","Mixed"))</x:f>
        <x:v>Hard</x:v>
      </x:c>
      <x:c r="K72" s="63" t="str">
        <x:v>Level 3 — Apply/Implement</x:v>
      </x:c>
      <x:c r="L72" s="63" t="str">
        <x:v>Hard</x:v>
      </x:c>
      <x:c r="M72" s="42" t="str">
        <x:v>Complete an agent/tool task, inspect its trace, and handle an injected tool or control failure</x:v>
      </x:c>
      <x:c r="N72" s="42" t="str">
        <x:v>Procedural; Causal; Tacit</x:v>
      </x:c>
      <x:c r="O72" s="42" t="str">
        <x:v>Tool-failure injection and recovery exercise</x:v>
      </x:c>
      <x:c r="P72" s="43" t="str">
        <x:v>https://docs.aws.amazon.com/aws-certification/latest/ai-professional-01/ai-professional-01-domain2.html</x:v>
      </x:c>
    </x:row>
    <x:row r="73" ht="42" customHeight="1">
      <x:c r="A73" s="57" t="n">
        <x:v>68</x:v>
      </x:c>
      <x:c r="B73" s="42" t="str">
        <x:v>Agent stopping conditions, timeouts, boundaries, and circuit breakers</x:v>
      </x:c>
      <x:c r="C73" s="63" t="n">
        <x:v>5</x:v>
      </x:c>
      <x:c r="D73" s="42" t="str">
        <x:v>Layer 5 — Tools and agentic AI</x:v>
      </x:c>
      <x:c r="E73" s="42" t="str">
        <x:v>Official skill-derived</x:v>
      </x:c>
      <x:c r="F73" s="42" t="str">
        <x:v>2.1.3</x:v>
      </x:c>
      <x:c r="G73" s="42" t="str">
        <x:v>2.1 Implement agentic AI solutions and tool integrations</x:v>
      </x:c>
      <x:c r="H73" s="42" t="str">
        <x:v>37, 64, 67</x:v>
      </x:c>
      <x:c r="I73" s="42" t="str"/>
      <x:c r="J73" s="63" t="str">
        <x:f>IF(AND(H73="",I73=""),"None",IF(I73="","Hard","Mixed"))</x:f>
        <x:v>Hard</x:v>
      </x:c>
      <x:c r="K73" s="63" t="str">
        <x:v>Level 3 — Apply/Implement</x:v>
      </x:c>
      <x:c r="L73" s="63" t="str">
        <x:v>Hard</x:v>
      </x:c>
      <x:c r="M73" s="42" t="str">
        <x:v>Complete an agent/tool task, inspect its trace, and handle an injected tool or control failure</x:v>
      </x:c>
      <x:c r="N73" s="42" t="str">
        <x:v>Procedural; Causal; Normative; Strategic</x:v>
      </x:c>
      <x:c r="O73" s="42" t="str">
        <x:v>Agent loop, timeout, and boundary tests</x:v>
      </x:c>
      <x:c r="P73" s="43" t="str">
        <x:v>https://docs.aws.amazon.com/aws-certification/latest/ai-professional-01/ai-professional-01-domain2.html</x:v>
      </x:c>
    </x:row>
    <x:row r="74" ht="42" customHeight="1">
      <x:c r="A74" s="57" t="n">
        <x:v>69</x:v>
      </x:c>
      <x:c r="B74" s="42" t="str">
        <x:v>Human-in-the-loop review, approval, escalation, and feedback</x:v>
      </x:c>
      <x:c r="C74" s="63" t="n">
        <x:v>5</x:v>
      </x:c>
      <x:c r="D74" s="42" t="str">
        <x:v>Layer 5 — Tools and agentic AI</x:v>
      </x:c>
      <x:c r="E74" s="42" t="str">
        <x:v>Official skill-derived</x:v>
      </x:c>
      <x:c r="F74" s="42" t="str">
        <x:v>2.1.5</x:v>
      </x:c>
      <x:c r="G74" s="42" t="str">
        <x:v>2.1 Implement agentic AI solutions and tool integrations</x:v>
      </x:c>
      <x:c r="H74" s="42" t="str">
        <x:v>5, 64, 68</x:v>
      </x:c>
      <x:c r="I74" s="42" t="str"/>
      <x:c r="J74" s="63" t="str">
        <x:f>IF(AND(H74="",I74=""),"None",IF(I74="","Hard","Mixed"))</x:f>
        <x:v>Hard</x:v>
      </x:c>
      <x:c r="K74" s="63" t="str">
        <x:v>Level 4 — Select/Diagnose</x:v>
      </x:c>
      <x:c r="L74" s="63" t="str">
        <x:v>Hard</x:v>
      </x:c>
      <x:c r="M74" s="42" t="str">
        <x:v>Solve contrasting scenarios and justify both the selected and rejected approaches</x:v>
      </x:c>
      <x:c r="N74" s="42" t="str">
        <x:v>Conditional; Strategic; Normative; Institutional</x:v>
      </x:c>
      <x:c r="O74" s="42" t="str">
        <x:v>Human-in-the-loop case and approval-workflow implementation</x:v>
      </x:c>
      <x:c r="P74" s="43" t="str">
        <x:v>https://docs.aws.amazon.com/aws-certification/latest/ai-professional-01/ai-professional-01-domain2.html</x:v>
      </x:c>
    </x:row>
    <x:row r="75" ht="42" customHeight="1">
      <x:c r="A75" s="57" t="n">
        <x:v>70</x:v>
      </x:c>
      <x:c r="B75" s="42" t="str">
        <x:v>Specialized-model and agent coordination</x:v>
      </x:c>
      <x:c r="C75" s="63" t="n">
        <x:v>5</x:v>
      </x:c>
      <x:c r="D75" s="42" t="str">
        <x:v>Layer 5 — Tools and agentic AI</x:v>
      </x:c>
      <x:c r="E75" s="42" t="str">
        <x:v>Official skill-derived</x:v>
      </x:c>
      <x:c r="F75" s="42" t="str">
        <x:v>2.1.4</x:v>
      </x:c>
      <x:c r="G75" s="42" t="str">
        <x:v>2.1 Implement agentic AI solutions and tool integrations</x:v>
      </x:c>
      <x:c r="H75" s="42" t="str">
        <x:v>41, 42, 64</x:v>
      </x:c>
      <x:c r="I75" s="42" t="str">
        <x:v>69</x:v>
      </x:c>
      <x:c r="J75" s="63" t="str">
        <x:f>IF(AND(H75="",I75=""),"None",IF(I75="","Hard","Mixed"))</x:f>
        <x:v>Mixed</x:v>
      </x:c>
      <x:c r="K75" s="63" t="str">
        <x:v>Level 4 — Select/Diagnose</x:v>
      </x:c>
      <x:c r="L75" s="63" t="str">
        <x:v>Soft</x:v>
      </x:c>
      <x:c r="M75" s="42" t="str">
        <x:v>Complete an agent/tool task, inspect its trace, and handle an injected tool or control failure</x:v>
      </x:c>
      <x:c r="N75" s="42" t="str">
        <x:v>Conceptual; Conditional; Strategic</x:v>
      </x:c>
      <x:c r="O75" s="42" t="str">
        <x:v>Coordination design and comparison experiment</x:v>
      </x:c>
      <x:c r="P75" s="43" t="str">
        <x:v>https://docs.aws.amazon.com/aws-certification/latest/ai-professional-01/ai-professional-01-domain2.html</x:v>
      </x:c>
    </x:row>
    <x:row r="76" ht="42" customHeight="1">
      <x:c r="A76" s="57" t="n">
        <x:v>71</x:v>
      </x:c>
      <x:c r="B76" s="42" t="str">
        <x:v>Multi-agent systems</x:v>
      </x:c>
      <x:c r="C76" s="63" t="n">
        <x:v>5</x:v>
      </x:c>
      <x:c r="D76" s="42" t="str">
        <x:v>Layer 5 — Tools and agentic AI</x:v>
      </x:c>
      <x:c r="E76" s="42" t="str">
        <x:v>Official skill-derived</x:v>
      </x:c>
      <x:c r="F76" s="42" t="str">
        <x:v>2.1.1; 2.1.4; 2.5.5</x:v>
      </x:c>
      <x:c r="G76" s="42" t="str">
        <x:v>2.1 Implement agentic AI solutions and tool integrations; 2.5 Implement application integration patterns and development tools</x:v>
      </x:c>
      <x:c r="H76" s="42" t="str">
        <x:v>64, 66, 67, 68, 70</x:v>
      </x:c>
      <x:c r="I76" s="42" t="str">
        <x:v>69</x:v>
      </x:c>
      <x:c r="J76" s="63" t="str">
        <x:f>IF(AND(H76="",I76=""),"None",IF(I76="","Hard","Mixed"))</x:f>
        <x:v>Mixed</x:v>
      </x:c>
      <x:c r="K76" s="63" t="str">
        <x:v>Level 4 — Select/Diagnose</x:v>
      </x:c>
      <x:c r="L76" s="63" t="str">
        <x:v>Soft</x:v>
      </x:c>
      <x:c r="M76" s="42" t="str">
        <x:v>Complete an agent/tool task, inspect its trace, and handle an injected tool or control failure</x:v>
      </x:c>
      <x:c r="N76" s="42" t="str">
        <x:v>Conceptual; Strategic; Tacit</x:v>
      </x:c>
      <x:c r="O76" s="42" t="str">
        <x:v>Single-versus-multi-agent case study and build</x:v>
      </x:c>
      <x:c r="P76" s="43" t="str">
        <x:v>https://docs.aws.amazon.com/aws-certification/latest/ai-professional-01/ai-professional-01-domain2.html</x:v>
      </x:c>
    </x:row>
    <x:row r="77" ht="42" customHeight="1">
      <x:c r="A77" s="57" t="n">
        <x:v>72</x:v>
      </x:c>
      <x:c r="B77" s="42" t="str">
        <x:v>Agent tracing and observability</x:v>
      </x:c>
      <x:c r="C77" s="63" t="n">
        <x:v>5</x:v>
      </x:c>
      <x:c r="D77" s="42" t="str">
        <x:v>Layer 5 — Tools and agentic AI</x:v>
      </x:c>
      <x:c r="E77" s="42" t="str">
        <x:v>Official skill-derived</x:v>
      </x:c>
      <x:c r="F77" s="42" t="str">
        <x:v>3.4.1; 4.3.4</x:v>
      </x:c>
      <x:c r="G77" s="42" t="str">
        <x:v>3.4 Implement responsible AI principles; 4.3 Implement monitoring systems for GenAI applications</x:v>
      </x:c>
      <x:c r="H77" s="42" t="str">
        <x:v>38, 64, 67, 71</x:v>
      </x:c>
      <x:c r="I77" s="42" t="str"/>
      <x:c r="J77" s="63" t="str">
        <x:f>IF(AND(H77="",I77=""),"None",IF(I77="","Hard","Mixed"))</x:f>
        <x:v>Hard</x:v>
      </x:c>
      <x:c r="K77" s="63" t="str">
        <x:v>Level 3 — Apply/Implement</x:v>
      </x:c>
      <x:c r="L77" s="63" t="str">
        <x:v>Hard</x:v>
      </x:c>
      <x:c r="M77" s="42" t="str">
        <x:v>Instrument the system, detect an injected anomaly, and identify the affected component</x:v>
      </x:c>
      <x:c r="N77" s="42" t="str">
        <x:v>Procedural; Diagnostic/Causal; Embedded</x:v>
      </x:c>
      <x:c r="O77" s="42" t="str">
        <x:v>Agent trace and execution-path analysis</x:v>
      </x:c>
      <x:c r="P77" s="43" t="str">
        <x:v>https://docs.aws.amazon.com/aws-certification/latest/ai-professional-01/ai-professional-01.html</x:v>
      </x:c>
    </x:row>
    <x:row r="78" ht="42" customHeight="1">
      <x:c r="A78" s="57" t="n">
        <x:v>73</x:v>
      </x:c>
      <x:c r="B78" s="42" t="str">
        <x:v>Agent evaluation and task-completion measurement</x:v>
      </x:c>
      <x:c r="C78" s="63" t="n">
        <x:v>5</x:v>
      </x:c>
      <x:c r="D78" s="42" t="str">
        <x:v>Layer 5 — Tools and agentic AI</x:v>
      </x:c>
      <x:c r="E78" s="42" t="str">
        <x:v>Official skill-derived</x:v>
      </x:c>
      <x:c r="F78" s="42" t="str">
        <x:v>5.1.7</x:v>
      </x:c>
      <x:c r="G78" s="42" t="str">
        <x:v>5.1 Implement evaluation systems for GenAI</x:v>
      </x:c>
      <x:c r="H78" s="42" t="str">
        <x:v>10, 64, 72</x:v>
      </x:c>
      <x:c r="I78" s="42" t="str"/>
      <x:c r="J78" s="63" t="str">
        <x:f>IF(AND(H78="",I78=""),"None",IF(I78="","Hard","Mixed"))</x:f>
        <x:v>Hard</x:v>
      </x:c>
      <x:c r="K78" s="63" t="str">
        <x:v>Level 4 — Select/Diagnose</x:v>
      </x:c>
      <x:c r="L78" s="63" t="str">
        <x:v>Soft</x:v>
      </x:c>
      <x:c r="M78" s="42" t="str">
        <x:v>Build or apply an evaluation set, interpret results, and make a justified release or model decision</x:v>
      </x:c>
      <x:c r="N78" s="42" t="str">
        <x:v>Conceptual; Procedural; Conditional</x:v>
      </x:c>
      <x:c r="O78" s="42" t="str">
        <x:v>Build an agent evaluation harness</x:v>
      </x:c>
      <x:c r="P78" s="43" t="str">
        <x:v>https://docs.aws.amazon.com/aws-certification/latest/ai-professional-01/ai-professional-01-domain5.html</x:v>
      </x:c>
    </x:row>
    <x:row r="79" ht="42" customHeight="1">
      <x:c r="A79" s="57" t="n">
        <x:v>74</x:v>
      </x:c>
      <x:c r="B79" s="42" t="str">
        <x:v>Input content filtering and moderation</x:v>
      </x:c>
      <x:c r="C79" s="63" t="n">
        <x:v>6</x:v>
      </x:c>
      <x:c r="D79" s="42" t="str">
        <x:v>Layer 6 — Safety, security, and privacy</x:v>
      </x:c>
      <x:c r="E79" s="42" t="str">
        <x:v>Official skill-derived</x:v>
      </x:c>
      <x:c r="F79" s="42" t="str">
        <x:v>3.1.1</x:v>
      </x:c>
      <x:c r="G79" s="42" t="str">
        <x:v>3.1 Implement input and output safety controls</x:v>
      </x:c>
      <x:c r="H79" s="42" t="str">
        <x:v>9, 32</x:v>
      </x:c>
      <x:c r="I79" s="42" t="str"/>
      <x:c r="J79" s="63" t="str">
        <x:f>IF(AND(H79="",I79=""),"None",IF(I79="","Hard","Mixed"))</x:f>
        <x:v>Hard</x:v>
      </x:c>
      <x:c r="K79" s="63" t="str">
        <x:v>Level 3 — Apply/Implement</x:v>
      </x:c>
      <x:c r="L79" s="63" t="str">
        <x:v>Hard</x:v>
      </x:c>
      <x:c r="M79" s="42" t="str">
        <x:v>Complete an independent hands-on task and explain the key implementation decisions</x:v>
      </x:c>
      <x:c r="N79" s="42" t="str">
        <x:v>Procedural; Conditional; Normative; Embedded</x:v>
      </x:c>
      <x:c r="O79" s="42" t="str">
        <x:v>Adversarial-input moderation laboratory</x:v>
      </x:c>
      <x:c r="P79" s="43" t="str">
        <x:v>https://docs.aws.amazon.com/aws-certification/latest/ai-professional-01/ai-professional-01-domain3.html</x:v>
      </x:c>
    </x:row>
    <x:row r="80" ht="42" customHeight="1">
      <x:c r="A80" s="57" t="n">
        <x:v>75</x:v>
      </x:c>
      <x:c r="B80" s="42" t="str">
        <x:v>Output filtering and moderation</x:v>
      </x:c>
      <x:c r="C80" s="63" t="n">
        <x:v>6</x:v>
      </x:c>
      <x:c r="D80" s="42" t="str">
        <x:v>Layer 6 — Safety, security, and privacy</x:v>
      </x:c>
      <x:c r="E80" s="42" t="str">
        <x:v>Official skill-derived</x:v>
      </x:c>
      <x:c r="F80" s="42" t="str">
        <x:v>3.1.2</x:v>
      </x:c>
      <x:c r="G80" s="42" t="str">
        <x:v>3.1 Implement input and output safety controls</x:v>
      </x:c>
      <x:c r="H80" s="42" t="str">
        <x:v>74</x:v>
      </x:c>
      <x:c r="I80" s="42" t="str"/>
      <x:c r="J80" s="63" t="str">
        <x:f>IF(AND(H80="",I80=""),"None",IF(I80="","Hard","Mixed"))</x:f>
        <x:v>Hard</x:v>
      </x:c>
      <x:c r="K80" s="63" t="str">
        <x:v>Level 3 — Apply/Implement</x:v>
      </x:c>
      <x:c r="L80" s="63" t="str">
        <x:v>Hard</x:v>
      </x:c>
      <x:c r="M80" s="42" t="str">
        <x:v>Complete an independent hands-on task and explain the key implementation decisions</x:v>
      </x:c>
      <x:c r="N80" s="42" t="str">
        <x:v>Procedural; Conditional; Normative; Embedded</x:v>
      </x:c>
      <x:c r="O80" s="42" t="str">
        <x:v>Output-safety evaluation laboratory</x:v>
      </x:c>
      <x:c r="P80" s="43" t="str">
        <x:v>https://docs.aws.amazon.com/aws-certification/latest/ai-professional-01/ai-professional-01-domain3.html</x:v>
      </x:c>
    </x:row>
    <x:row r="81" ht="42" customHeight="1">
      <x:c r="A81" s="57" t="n">
        <x:v>76</x:v>
      </x:c>
      <x:c r="B81" s="42" t="str">
        <x:v>Grounding, factual verification, confidence, and hallucination reduction</x:v>
      </x:c>
      <x:c r="C81" s="63" t="n">
        <x:v>6</x:v>
      </x:c>
      <x:c r="D81" s="42" t="str">
        <x:v>Layer 6 — Safety, security, and privacy</x:v>
      </x:c>
      <x:c r="E81" s="42" t="str">
        <x:v>Official skill-derived</x:v>
      </x:c>
      <x:c r="F81" s="42" t="str">
        <x:v>3.1.3</x:v>
      </x:c>
      <x:c r="G81" s="42" t="str">
        <x:v>3.1 Implement input and output safety controls</x:v>
      </x:c>
      <x:c r="H81" s="42" t="str">
        <x:v>10, 20, 74, 75</x:v>
      </x:c>
      <x:c r="I81" s="42" t="str"/>
      <x:c r="J81" s="63" t="str">
        <x:f>IF(AND(H81="",I81=""),"None",IF(I81="","Hard","Mixed"))</x:f>
        <x:v>Hard</x:v>
      </x:c>
      <x:c r="K81" s="63" t="str">
        <x:v>Level 4 — Select/Diagnose</x:v>
      </x:c>
      <x:c r="L81" s="63" t="str">
        <x:v>Hard</x:v>
      </x:c>
      <x:c r="M81" s="42" t="str">
        <x:v>Complete an independent hands-on task and explain the key implementation decisions</x:v>
      </x:c>
      <x:c r="N81" s="42" t="str">
        <x:v>Conceptual; Procedural; Causal; Normative</x:v>
      </x:c>
      <x:c r="O81" s="42" t="str">
        <x:v>Grounding and factual-verification experiment</x:v>
      </x:c>
      <x:c r="P81" s="43" t="str">
        <x:v>https://docs.aws.amazon.com/aws-certification/latest/ai-professional-01/ai-professional-01-domain3.html</x:v>
      </x:c>
    </x:row>
    <x:row r="82" ht="42" customHeight="1">
      <x:c r="A82" s="57" t="n">
        <x:v>77</x:v>
      </x:c>
      <x:c r="B82" s="42" t="str">
        <x:v>Structured and deterministic output controls</x:v>
      </x:c>
      <x:c r="C82" s="63" t="n">
        <x:v>6</x:v>
      </x:c>
      <x:c r="D82" s="42" t="str">
        <x:v>Layer 6 — Safety, security, and privacy</x:v>
      </x:c>
      <x:c r="E82" s="42" t="str">
        <x:v>Official skill-derived</x:v>
      </x:c>
      <x:c r="F82" s="42" t="str">
        <x:v>3.1.2; 3.1.3</x:v>
      </x:c>
      <x:c r="G82" s="42" t="str">
        <x:v>3.1 Implement input and output safety controls</x:v>
      </x:c>
      <x:c r="H82" s="42" t="str">
        <x:v>9, 35, 75</x:v>
      </x:c>
      <x:c r="I82" s="42" t="str"/>
      <x:c r="J82" s="63" t="str">
        <x:f>IF(AND(H82="",I82=""),"None",IF(I82="","Hard","Mixed"))</x:f>
        <x:v>Hard</x:v>
      </x:c>
      <x:c r="K82" s="63" t="str">
        <x:v>Level 3 — Apply/Implement</x:v>
      </x:c>
      <x:c r="L82" s="63" t="str">
        <x:v>Hard</x:v>
      </x:c>
      <x:c r="M82" s="42" t="str">
        <x:v>Complete an independent hands-on task and explain the key implementation decisions</x:v>
      </x:c>
      <x:c r="N82" s="42" t="str">
        <x:v>Procedural; Conditional; Normative</x:v>
      </x:c>
      <x:c r="O82" s="42" t="str">
        <x:v>Schema and deterministic-output control lab</x:v>
      </x:c>
      <x:c r="P82" s="43" t="str">
        <x:v>https://docs.aws.amazon.com/aws-certification/latest/ai-professional-01/ai-professional-01-domain3.html</x:v>
      </x:c>
    </x:row>
    <x:row r="83" ht="42" customHeight="1">
      <x:c r="A83" s="57" t="n">
        <x:v>78</x:v>
      </x:c>
      <x:c r="B83" s="42" t="str">
        <x:v>Prompt-injection and jailbreak threats</x:v>
      </x:c>
      <x:c r="C83" s="63" t="n">
        <x:v>6</x:v>
      </x:c>
      <x:c r="D83" s="42" t="str">
        <x:v>Layer 6 — Safety, security, and privacy</x:v>
      </x:c>
      <x:c r="E83" s="42" t="str">
        <x:v>Official skill-derived</x:v>
      </x:c>
      <x:c r="F83" s="42" t="str">
        <x:v>3.1.5</x:v>
      </x:c>
      <x:c r="G83" s="42" t="str">
        <x:v>3.1 Implement input and output safety controls</x:v>
      </x:c>
      <x:c r="H83" s="42" t="str">
        <x:v>5, 9, 61, 74</x:v>
      </x:c>
      <x:c r="I83" s="42" t="str"/>
      <x:c r="J83" s="63" t="str">
        <x:f>IF(AND(H83="",I83=""),"None",IF(I83="","Hard","Mixed"))</x:f>
        <x:v>Hard</x:v>
      </x:c>
      <x:c r="K83" s="63" t="str">
        <x:v>Level 4 — Select/Diagnose</x:v>
      </x:c>
      <x:c r="L83" s="63" t="str">
        <x:v>Hard</x:v>
      </x:c>
      <x:c r="M83" s="42" t="str">
        <x:v>Improve a prompt against a fixed test set and demonstrate that no critical regression was introduced</x:v>
      </x:c>
      <x:c r="N83" s="42" t="str">
        <x:v>Declarative; Causal; Normative</x:v>
      </x:c>
      <x:c r="O83" s="42" t="str">
        <x:v>Threat examples and attack-path analysis</x:v>
      </x:c>
      <x:c r="P83" s="43" t="str">
        <x:v>https://docs.aws.amazon.com/aws-certification/latest/ai-professional-01/ai-professional-01-domain3.html</x:v>
      </x:c>
    </x:row>
    <x:row r="84" ht="42" customHeight="1">
      <x:c r="A84" s="57" t="n">
        <x:v>79</x:v>
      </x:c>
      <x:c r="B84" s="42" t="str">
        <x:v>Adversarial testing and safety classifiers</x:v>
      </x:c>
      <x:c r="C84" s="63" t="n">
        <x:v>6</x:v>
      </x:c>
      <x:c r="D84" s="42" t="str">
        <x:v>Layer 6 — Safety, security, and privacy</x:v>
      </x:c>
      <x:c r="E84" s="42" t="str">
        <x:v>Official skill-derived</x:v>
      </x:c>
      <x:c r="F84" s="42" t="str">
        <x:v>3.1.5</x:v>
      </x:c>
      <x:c r="G84" s="42" t="str">
        <x:v>3.1 Implement input and output safety controls</x:v>
      </x:c>
      <x:c r="H84" s="42" t="str">
        <x:v>10, 74, 78</x:v>
      </x:c>
      <x:c r="I84" s="42" t="str"/>
      <x:c r="J84" s="63" t="str">
        <x:f>IF(AND(H84="",I84=""),"None",IF(I84="","Hard","Mixed"))</x:f>
        <x:v>Hard</x:v>
      </x:c>
      <x:c r="K84" s="63" t="str">
        <x:v>Level 4 — Select/Diagnose</x:v>
      </x:c>
      <x:c r="L84" s="63" t="str">
        <x:v>Soft</x:v>
      </x:c>
      <x:c r="M84" s="42" t="str">
        <x:v>Complete an independent hands-on task and explain the key implementation decisions</x:v>
      </x:c>
      <x:c r="N84" s="42" t="str">
        <x:v>Procedural; Causal; Normative; Tacit</x:v>
      </x:c>
      <x:c r="O84" s="42" t="str">
        <x:v>Red-team exercise and adversarial regression suite</x:v>
      </x:c>
      <x:c r="P84" s="43" t="str">
        <x:v>https://docs.aws.amazon.com/aws-certification/latest/ai-professional-01/ai-professional-01-domain3.html</x:v>
      </x:c>
    </x:row>
    <x:row r="85" ht="42" customHeight="1">
      <x:c r="A85" s="57" t="n">
        <x:v>80</x:v>
      </x:c>
      <x:c r="B85" s="42" t="str">
        <x:v>Defense-in-depth GenAI safety architecture</x:v>
      </x:c>
      <x:c r="C85" s="63" t="n">
        <x:v>6</x:v>
      </x:c>
      <x:c r="D85" s="42" t="str">
        <x:v>Layer 6 — Safety, security, and privacy</x:v>
      </x:c>
      <x:c r="E85" s="42" t="str">
        <x:v>Official skill-derived</x:v>
      </x:c>
      <x:c r="F85" s="42" t="str">
        <x:v>3.1.4</x:v>
      </x:c>
      <x:c r="G85" s="42" t="str">
        <x:v>3.1 Implement input and output safety controls</x:v>
      </x:c>
      <x:c r="H85" s="42" t="str">
        <x:v>74, 75, 76, 77, 78, 79</x:v>
      </x:c>
      <x:c r="I85" s="42" t="str"/>
      <x:c r="J85" s="63" t="str">
        <x:f>IF(AND(H85="",I85=""),"None",IF(I85="","Hard","Mixed"))</x:f>
        <x:v>Hard</x:v>
      </x:c>
      <x:c r="K85" s="63" t="str">
        <x:v>Level 4 — Select/Diagnose</x:v>
      </x:c>
      <x:c r="L85" s="63" t="str">
        <x:v>Hard</x:v>
      </x:c>
      <x:c r="M85" s="42" t="str">
        <x:v>Design a solution for a novel case and defend component choices, constraints, and residual risks</x:v>
      </x:c>
      <x:c r="N85" s="42" t="str">
        <x:v>Conceptual; Strategic; Normative</x:v>
      </x:c>
      <x:c r="O85" s="42" t="str">
        <x:v>Layered-defense architecture and bypass testing</x:v>
      </x:c>
      <x:c r="P85" s="43" t="str">
        <x:v>https://docs.aws.amazon.com/aws-certification/latest/ai-professional-01/ai-professional-01-domain3.html</x:v>
      </x:c>
    </x:row>
    <x:row r="86" ht="42" customHeight="1">
      <x:c r="A86" s="57" t="n">
        <x:v>81</x:v>
      </x:c>
      <x:c r="B86" s="42" t="str">
        <x:v>VPC endpoints and protected AI environments</x:v>
      </x:c>
      <x:c r="C86" s="63" t="n">
        <x:v>6</x:v>
      </x:c>
      <x:c r="D86" s="42" t="str">
        <x:v>Layer 6 — Safety, security, and privacy</x:v>
      </x:c>
      <x:c r="E86" s="42" t="str">
        <x:v>Official skill-derived</x:v>
      </x:c>
      <x:c r="F86" s="42" t="str">
        <x:v>3.2.1</x:v>
      </x:c>
      <x:c r="G86" s="42" t="str">
        <x:v>3.2 Implement data security and privacy controls</x:v>
      </x:c>
      <x:c r="H86" s="42" t="str">
        <x:v>5, 54, 55</x:v>
      </x:c>
      <x:c r="I86" s="42" t="str"/>
      <x:c r="J86" s="63" t="str">
        <x:f>IF(AND(H86="",I86=""),"None",IF(I86="","Hard","Mixed"))</x:f>
        <x:v>Hard</x:v>
      </x:c>
      <x:c r="K86" s="63" t="str">
        <x:v>Level 3 — Apply/Implement</x:v>
      </x:c>
      <x:c r="L86" s="63" t="str">
        <x:v>Hard</x:v>
      </x:c>
      <x:c r="M86" s="42" t="str">
        <x:v>Perform an independent deployment or pipeline task and verify rollback/recovery behavior</x:v>
      </x:c>
      <x:c r="N86" s="42" t="str">
        <x:v>Procedural; Embedded; Normative</x:v>
      </x:c>
      <x:c r="O86" s="42" t="str">
        <x:v>Private-connectivity lab and network validation</x:v>
      </x:c>
      <x:c r="P86" s="43" t="str">
        <x:v>https://docs.aws.amazon.com/aws-certification/latest/ai-professional-01/ai-professional-01-domain3.html</x:v>
      </x:c>
    </x:row>
    <x:row r="87" ht="42" customHeight="1">
      <x:c r="A87" s="57" t="n">
        <x:v>82</x:v>
      </x:c>
      <x:c r="B87" s="42" t="str">
        <x:v>IAM and granular data access for GenAI</x:v>
      </x:c>
      <x:c r="C87" s="63" t="n">
        <x:v>6</x:v>
      </x:c>
      <x:c r="D87" s="42" t="str">
        <x:v>Layer 6 — Safety, security, and privacy</x:v>
      </x:c>
      <x:c r="E87" s="42" t="str">
        <x:v>Official skill-derived</x:v>
      </x:c>
      <x:c r="F87" s="42" t="str">
        <x:v>2.3.3; 3.2.1</x:v>
      </x:c>
      <x:c r="G87" s="42" t="str">
        <x:v>2.3 Design and implement enterprise integration architectures; 3.2 Implement data security and privacy controls</x:v>
      </x:c>
      <x:c r="H87" s="42" t="str">
        <x:v>5, 54, 81</x:v>
      </x:c>
      <x:c r="I87" s="42" t="str"/>
      <x:c r="J87" s="63" t="str">
        <x:f>IF(AND(H87="",I87=""),"None",IF(I87="","Hard","Mixed"))</x:f>
        <x:v>Hard</x:v>
      </x:c>
      <x:c r="K87" s="63" t="str">
        <x:v>Level 3 — Apply/Implement</x:v>
      </x:c>
      <x:c r="L87" s="63" t="str">
        <x:v>Hard</x:v>
      </x:c>
      <x:c r="M87" s="42" t="str">
        <x:v>Apply the control to a scenario and prove prohibited access or data exposure is blocked</x:v>
      </x:c>
      <x:c r="N87" s="42" t="str">
        <x:v>Procedural; Conditional; Normative; Embedded</x:v>
      </x:c>
      <x:c r="O87" s="42" t="str">
        <x:v>Least-privilege IAM implementation lab</x:v>
      </x:c>
      <x:c r="P87" s="43" t="str">
        <x:v>https://docs.aws.amazon.com/aws-certification/latest/ai-professional-01/ai-professional-01.html</x:v>
      </x:c>
    </x:row>
    <x:row r="88" ht="42" customHeight="1">
      <x:c r="A88" s="57" t="n">
        <x:v>83</x:v>
      </x:c>
      <x:c r="B88" s="42" t="str">
        <x:v>PII and sensitive-data discovery</x:v>
      </x:c>
      <x:c r="C88" s="63" t="n">
        <x:v>6</x:v>
      </x:c>
      <x:c r="D88" s="42" t="str">
        <x:v>Layer 6 — Safety, security, and privacy</x:v>
      </x:c>
      <x:c r="E88" s="42" t="str">
        <x:v>Official skill-derived</x:v>
      </x:c>
      <x:c r="F88" s="42" t="str">
        <x:v>3.2.2</x:v>
      </x:c>
      <x:c r="G88" s="42" t="str">
        <x:v>3.2 Implement data security and privacy controls</x:v>
      </x:c>
      <x:c r="H88" s="42" t="str">
        <x:v>5, 11, 12</x:v>
      </x:c>
      <x:c r="I88" s="42" t="str"/>
      <x:c r="J88" s="63" t="str">
        <x:f>IF(AND(H88="",I88=""),"None",IF(I88="","Hard","Mixed"))</x:f>
        <x:v>Hard</x:v>
      </x:c>
      <x:c r="K88" s="63" t="str">
        <x:v>Level 3 — Apply/Implement</x:v>
      </x:c>
      <x:c r="L88" s="63" t="str">
        <x:v>Hard</x:v>
      </x:c>
      <x:c r="M88" s="42" t="str">
        <x:v>Apply the control to a scenario and prove prohibited access or data exposure is blocked</x:v>
      </x:c>
      <x:c r="N88" s="42" t="str">
        <x:v>Declarative; Procedural; Normative; Embedded</x:v>
      </x:c>
      <x:c r="O88" s="42" t="str">
        <x:v>PII and sensitive-data discovery laboratory</x:v>
      </x:c>
      <x:c r="P88" s="43" t="str">
        <x:v>https://docs.aws.amazon.com/aws-certification/latest/ai-professional-01/ai-professional-01-domain3.html</x:v>
      </x:c>
    </x:row>
    <x:row r="89" ht="42" customHeight="1">
      <x:c r="A89" s="57" t="n">
        <x:v>84</x:v>
      </x:c>
      <x:c r="B89" s="42" t="str">
        <x:v>Data masking, anonymization, and redaction</x:v>
      </x:c>
      <x:c r="C89" s="63" t="n">
        <x:v>6</x:v>
      </x:c>
      <x:c r="D89" s="42" t="str">
        <x:v>Layer 6 — Safety, security, and privacy</x:v>
      </x:c>
      <x:c r="E89" s="42" t="str">
        <x:v>Official skill-derived</x:v>
      </x:c>
      <x:c r="F89" s="42" t="str">
        <x:v>3.2.3</x:v>
      </x:c>
      <x:c r="G89" s="42" t="str">
        <x:v>3.2 Implement data security and privacy controls</x:v>
      </x:c>
      <x:c r="H89" s="42" t="str">
        <x:v>83</x:v>
      </x:c>
      <x:c r="I89" s="42" t="str"/>
      <x:c r="J89" s="63" t="str">
        <x:f>IF(AND(H89="",I89=""),"None",IF(I89="","Hard","Mixed"))</x:f>
        <x:v>Hard</x:v>
      </x:c>
      <x:c r="K89" s="63" t="str">
        <x:v>Level 3 — Apply/Implement</x:v>
      </x:c>
      <x:c r="L89" s="63" t="str">
        <x:v>Hard</x:v>
      </x:c>
      <x:c r="M89" s="42" t="str">
        <x:v>Apply the control to a scenario and prove prohibited access or data exposure is blocked</x:v>
      </x:c>
      <x:c r="N89" s="42" t="str">
        <x:v>Procedural; Conditional; Normative</x:v>
      </x:c>
      <x:c r="O89" s="42" t="str">
        <x:v>Masking/anonymization utility experiment</x:v>
      </x:c>
      <x:c r="P89" s="43" t="str">
        <x:v>https://docs.aws.amazon.com/aws-certification/latest/ai-professional-01/ai-professional-01-domain3.html</x:v>
      </x:c>
    </x:row>
    <x:row r="90" ht="42" customHeight="1">
      <x:c r="A90" s="57" t="n">
        <x:v>85</x:v>
      </x:c>
      <x:c r="B90" s="42" t="str">
        <x:v>Data retention, logging privacy, and lifecycle controls</x:v>
      </x:c>
      <x:c r="C90" s="63" t="n">
        <x:v>6</x:v>
      </x:c>
      <x:c r="D90" s="42" t="str">
        <x:v>Layer 6 — Safety, security, and privacy</x:v>
      </x:c>
      <x:c r="E90" s="42" t="str">
        <x:v>Official skill-derived</x:v>
      </x:c>
      <x:c r="F90" s="42" t="str">
        <x:v>3.2.2</x:v>
      </x:c>
      <x:c r="G90" s="42" t="str">
        <x:v>3.2 Implement data security and privacy controls</x:v>
      </x:c>
      <x:c r="H90" s="42" t="str">
        <x:v>5, 83, 84</x:v>
      </x:c>
      <x:c r="I90" s="42" t="str"/>
      <x:c r="J90" s="63" t="str">
        <x:f>IF(AND(H90="",I90=""),"None",IF(I90="","Hard","Mixed"))</x:f>
        <x:v>Hard</x:v>
      </x:c>
      <x:c r="K90" s="63" t="str">
        <x:v>Level 3 — Apply/Implement</x:v>
      </x:c>
      <x:c r="L90" s="63" t="str">
        <x:v>Hard</x:v>
      </x:c>
      <x:c r="M90" s="42" t="str">
        <x:v>Perform an independent deployment or pipeline task and verify rollback/recovery behavior</x:v>
      </x:c>
      <x:c r="N90" s="42" t="str">
        <x:v>Procedural; Strategic; Normative; Institutional</x:v>
      </x:c>
      <x:c r="O90" s="42" t="str">
        <x:v>Data-lifecycle mapping and retention-configuration exercise</x:v>
      </x:c>
      <x:c r="P90" s="43" t="str">
        <x:v>https://docs.aws.amazon.com/aws-certification/latest/ai-professional-01/ai-professional-01-domain3.html</x:v>
      </x:c>
    </x:row>
    <x:row r="91" ht="42" customHeight="1">
      <x:c r="A91" s="57" t="n">
        <x:v>86</x:v>
      </x:c>
      <x:c r="B91" s="42" t="str">
        <x:v>Data lineage and source attribution</x:v>
      </x:c>
      <x:c r="C91" s="63" t="n">
        <x:v>7</x:v>
      </x:c>
      <x:c r="D91" s="42" t="str">
        <x:v>Layer 7 — Governance and responsible AI</x:v>
      </x:c>
      <x:c r="E91" s="42" t="str">
        <x:v>Official skill-derived</x:v>
      </x:c>
      <x:c r="F91" s="42" t="str">
        <x:v>3.3.1; 3.3.2</x:v>
      </x:c>
      <x:c r="G91" s="42" t="str">
        <x:v>3.3 Implement AI governance and compliance mechanisms</x:v>
      </x:c>
      <x:c r="H91" s="42" t="str">
        <x:v>16, 24, 85</x:v>
      </x:c>
      <x:c r="I91" s="42" t="str"/>
      <x:c r="J91" s="63" t="str">
        <x:f>IF(AND(H91="",I91=""),"None",IF(I91="","Hard","Mixed"))</x:f>
        <x:v>Hard</x:v>
      </x:c>
      <x:c r="K91" s="63" t="str">
        <x:v>Level 3 — Apply/Implement</x:v>
      </x:c>
      <x:c r="L91" s="63" t="str">
        <x:v>Hard</x:v>
      </x:c>
      <x:c r="M91" s="42" t="str">
        <x:v>Complete an independent hands-on task and explain the key implementation decisions</x:v>
      </x:c>
      <x:c r="N91" s="42" t="str">
        <x:v>Conceptual; Procedural; Normative; Institutional</x:v>
      </x:c>
      <x:c r="O91" s="42" t="str">
        <x:v>Lineage and source-tracing laboratory</x:v>
      </x:c>
      <x:c r="P91" s="43" t="str">
        <x:v>https://docs.aws.amazon.com/aws-certification/latest/ai-professional-01/ai-professional-01-domain3.html</x:v>
      </x:c>
    </x:row>
    <x:row r="92" ht="42" customHeight="1">
      <x:c r="A92" s="57" t="n">
        <x:v>87</x:v>
      </x:c>
      <x:c r="B92" s="42" t="str">
        <x:v>Model cards and model documentation</x:v>
      </x:c>
      <x:c r="C92" s="63" t="n">
        <x:v>7</x:v>
      </x:c>
      <x:c r="D92" s="42" t="str">
        <x:v>Layer 7 — Governance and responsible AI</x:v>
      </x:c>
      <x:c r="E92" s="42" t="str">
        <x:v>Official skill-derived</x:v>
      </x:c>
      <x:c r="F92" s="42" t="str">
        <x:v>3.3.1; 3.4.3</x:v>
      </x:c>
      <x:c r="G92" s="42" t="str">
        <x:v>3.3 Implement AI governance and compliance mechanisms; 3.4 Implement responsible AI principles</x:v>
      </x:c>
      <x:c r="H92" s="42" t="str">
        <x:v>7, 39, 48, 86</x:v>
      </x:c>
      <x:c r="I92" s="42" t="str"/>
      <x:c r="J92" s="63" t="str">
        <x:f>IF(AND(H92="",I92=""),"None",IF(I92="","Hard","Mixed"))</x:f>
        <x:v>Hard</x:v>
      </x:c>
      <x:c r="K92" s="63" t="str">
        <x:v>Level 3 — Apply/Implement</x:v>
      </x:c>
      <x:c r="L92" s="63" t="str">
        <x:v>Soft</x:v>
      </x:c>
      <x:c r="M92" s="42" t="str">
        <x:v>Map requirements to controls, owners, evidence, and escalation; justify unresolved risks</x:v>
      </x:c>
      <x:c r="N92" s="42" t="str">
        <x:v>Declarative; Normative; Institutional</x:v>
      </x:c>
      <x:c r="O92" s="42" t="str">
        <x:v>Create and critique model cards</x:v>
      </x:c>
      <x:c r="P92" s="43" t="str">
        <x:v>https://docs.aws.amazon.com/aws-certification/latest/ai-professional-01/ai-professional-01-domain3.html</x:v>
      </x:c>
    </x:row>
    <x:row r="93" ht="42" customHeight="1">
      <x:c r="A93" s="57" t="n">
        <x:v>88</x:v>
      </x:c>
      <x:c r="B93" s="42" t="str">
        <x:v>Audit logging and decision traceability</x:v>
      </x:c>
      <x:c r="C93" s="63" t="n">
        <x:v>7</x:v>
      </x:c>
      <x:c r="D93" s="42" t="str">
        <x:v>Layer 7 — Governance and responsible AI</x:v>
      </x:c>
      <x:c r="E93" s="42" t="str">
        <x:v>Official skill-derived</x:v>
      </x:c>
      <x:c r="F93" s="42" t="str">
        <x:v>3.3.1; 3.3.2</x:v>
      </x:c>
      <x:c r="G93" s="42" t="str">
        <x:v>3.3 Implement AI governance and compliance mechanisms</x:v>
      </x:c>
      <x:c r="H93" s="42" t="str">
        <x:v>38, 85, 86, 87</x:v>
      </x:c>
      <x:c r="I93" s="42" t="str"/>
      <x:c r="J93" s="63" t="str">
        <x:f>IF(AND(H93="",I93=""),"None",IF(I93="","Hard","Mixed"))</x:f>
        <x:v>Hard</x:v>
      </x:c>
      <x:c r="K93" s="63" t="str">
        <x:v>Level 3 — Apply/Implement</x:v>
      </x:c>
      <x:c r="L93" s="63" t="str">
        <x:v>Hard</x:v>
      </x:c>
      <x:c r="M93" s="42" t="str">
        <x:v>Map requirements to controls, owners, evidence, and escalation; justify unresolved risks</x:v>
      </x:c>
      <x:c r="N93" s="42" t="str">
        <x:v>Procedural; Normative; Institutional; Embedded</x:v>
      </x:c>
      <x:c r="O93" s="42" t="str">
        <x:v>Audit-trail implementation and reconstruction</x:v>
      </x:c>
      <x:c r="P93" s="43" t="str">
        <x:v>https://docs.aws.amazon.com/aws-certification/latest/ai-professional-01/ai-professional-01-domain3.html</x:v>
      </x:c>
    </x:row>
    <x:row r="94" ht="42" customHeight="1">
      <x:c r="A94" s="57" t="n">
        <x:v>89</x:v>
      </x:c>
      <x:c r="B94" s="42" t="str">
        <x:v>Organizational AI governance and accountability</x:v>
      </x:c>
      <x:c r="C94" s="63" t="n">
        <x:v>7</x:v>
      </x:c>
      <x:c r="D94" s="42" t="str">
        <x:v>Layer 7 — Governance and responsible AI</x:v>
      </x:c>
      <x:c r="E94" s="42" t="str">
        <x:v>Official skill-derived</x:v>
      </x:c>
      <x:c r="F94" s="42" t="str">
        <x:v>3.3.3</x:v>
      </x:c>
      <x:c r="G94" s="42" t="str">
        <x:v>3.3 Implement AI governance and compliance mechanisms</x:v>
      </x:c>
      <x:c r="H94" s="42" t="str">
        <x:v>5, 54, 86, 88</x:v>
      </x:c>
      <x:c r="I94" s="42" t="str"/>
      <x:c r="J94" s="63" t="str">
        <x:f>IF(AND(H94="",I94=""),"None",IF(I94="","Hard","Mixed"))</x:f>
        <x:v>Hard</x:v>
      </x:c>
      <x:c r="K94" s="63" t="str">
        <x:v>Level 5 — Design/Defend</x:v>
      </x:c>
      <x:c r="L94" s="63" t="str">
        <x:v>Hard</x:v>
      </x:c>
      <x:c r="M94" s="42" t="str">
        <x:v>Map requirements to controls, owners, evidence, and escalation; justify unresolved risks</x:v>
      </x:c>
      <x:c r="N94" s="42" t="str">
        <x:v>Conceptual; Strategic; Normative; Institutional</x:v>
      </x:c>
      <x:c r="O94" s="42" t="str">
        <x:v>Governance operating-model case</x:v>
      </x:c>
      <x:c r="P94" s="43" t="str">
        <x:v>https://docs.aws.amazon.com/aws-certification/latest/ai-professional-01/ai-professional-01-domain3.html</x:v>
      </x:c>
    </x:row>
    <x:row r="95" ht="42" customHeight="1">
      <x:c r="A95" s="57" t="n">
        <x:v>90</x:v>
      </x:c>
      <x:c r="B95" s="42" t="str">
        <x:v>Policy-to-control mapping</x:v>
      </x:c>
      <x:c r="C95" s="63" t="n">
        <x:v>7</x:v>
      </x:c>
      <x:c r="D95" s="42" t="str">
        <x:v>Layer 7 — Governance and responsible AI</x:v>
      </x:c>
      <x:c r="E95" s="42" t="str">
        <x:v>Official skill-derived</x:v>
      </x:c>
      <x:c r="F95" s="42" t="str">
        <x:v>3.3.3; 3.4.3</x:v>
      </x:c>
      <x:c r="G95" s="42" t="str">
        <x:v>3.3 Implement AI governance and compliance mechanisms; 3.4 Implement responsible AI principles</x:v>
      </x:c>
      <x:c r="H95" s="42" t="str">
        <x:v>89</x:v>
      </x:c>
      <x:c r="I95" s="42" t="str"/>
      <x:c r="J95" s="63" t="str">
        <x:f>IF(AND(H95="",I95=""),"None",IF(I95="","Hard","Mixed"))</x:f>
        <x:v>Hard</x:v>
      </x:c>
      <x:c r="K95" s="63" t="str">
        <x:v>Level 4 — Select/Diagnose</x:v>
      </x:c>
      <x:c r="L95" s="63" t="str">
        <x:v>Hard</x:v>
      </x:c>
      <x:c r="M95" s="42" t="str">
        <x:v>Map requirements to controls, owners, evidence, and escalation; justify unresolved risks</x:v>
      </x:c>
      <x:c r="N95" s="42" t="str">
        <x:v>Conditional; Strategic; Normative; Institutional</x:v>
      </x:c>
      <x:c r="O95" s="42" t="str">
        <x:v>Policy-to-control mapping workshop</x:v>
      </x:c>
      <x:c r="P95" s="43" t="str">
        <x:v>https://docs.aws.amazon.com/aws-certification/latest/ai-professional-01/ai-professional-01-domain3.html</x:v>
      </x:c>
    </x:row>
    <x:row r="96" ht="42" customHeight="1">
      <x:c r="A96" s="57" t="n">
        <x:v>91</x:v>
      </x:c>
      <x:c r="B96" s="42" t="str">
        <x:v>Continuous policy, misuse, bias, and drift monitoring</x:v>
      </x:c>
      <x:c r="C96" s="63" t="n">
        <x:v>7</x:v>
      </x:c>
      <x:c r="D96" s="42" t="str">
        <x:v>Layer 7 — Governance and responsible AI</x:v>
      </x:c>
      <x:c r="E96" s="42" t="str">
        <x:v>Official skill-derived</x:v>
      </x:c>
      <x:c r="F96" s="42" t="str">
        <x:v>3.3.4</x:v>
      </x:c>
      <x:c r="G96" s="42" t="str">
        <x:v>3.3 Implement AI governance and compliance mechanisms</x:v>
      </x:c>
      <x:c r="H96" s="42" t="str">
        <x:v>10, 38, 79, 89, 90</x:v>
      </x:c>
      <x:c r="I96" s="42" t="str"/>
      <x:c r="J96" s="63" t="str">
        <x:f>IF(AND(H96="",I96=""),"None",IF(I96="","Hard","Mixed"))</x:f>
        <x:v>Hard</x:v>
      </x:c>
      <x:c r="K96" s="63" t="str">
        <x:v>Level 4 — Select/Diagnose</x:v>
      </x:c>
      <x:c r="L96" s="63" t="str">
        <x:v>Hard</x:v>
      </x:c>
      <x:c r="M96" s="42" t="str">
        <x:v>Map requirements to controls, owners, evidence, and escalation; justify unresolved risks</x:v>
      </x:c>
      <x:c r="N96" s="42" t="str">
        <x:v>Procedural; Causal; Strategic; Normative</x:v>
      </x:c>
      <x:c r="O96" s="42" t="str">
        <x:v>Governance-monitoring and violation simulation</x:v>
      </x:c>
      <x:c r="P96" s="43" t="str">
        <x:v>https://docs.aws.amazon.com/aws-certification/latest/ai-professional-01/ai-professional-01-domain3.html</x:v>
      </x:c>
    </x:row>
    <x:row r="97" ht="42" customHeight="1">
      <x:c r="A97" s="57" t="n">
        <x:v>92</x:v>
      </x:c>
      <x:c r="B97" s="42" t="str">
        <x:v>Transparency, evidence presentation, and uncertainty communication</x:v>
      </x:c>
      <x:c r="C97" s="63" t="n">
        <x:v>7</x:v>
      </x:c>
      <x:c r="D97" s="42" t="str">
        <x:v>Layer 7 — Governance and responsible AI</x:v>
      </x:c>
      <x:c r="E97" s="42" t="str">
        <x:v>Official skill-derived</x:v>
      </x:c>
      <x:c r="F97" s="42" t="str">
        <x:v>3.4.1</x:v>
      </x:c>
      <x:c r="G97" s="42" t="str">
        <x:v>3.4 Implement responsible AI principles</x:v>
      </x:c>
      <x:c r="H97" s="42" t="str">
        <x:v>76, 87, 89</x:v>
      </x:c>
      <x:c r="I97" s="42" t="str"/>
      <x:c r="J97" s="63" t="str">
        <x:f>IF(AND(H97="",I97=""),"None",IF(I97="","Hard","Mixed"))</x:f>
        <x:v>Hard</x:v>
      </x:c>
      <x:c r="K97" s="63" t="str">
        <x:v>Level 3 — Apply/Implement</x:v>
      </x:c>
      <x:c r="L97" s="63" t="str">
        <x:v>Soft</x:v>
      </x:c>
      <x:c r="M97" s="42" t="str">
        <x:v>Map requirements to controls, owners, evidence, and escalation; justify unresolved risks</x:v>
      </x:c>
      <x:c r="N97" s="42" t="str">
        <x:v>Conceptual; Conditional; Normative</x:v>
      </x:c>
      <x:c r="O97" s="42" t="str">
        <x:v>Transparency and uncertainty-communication design case</x:v>
      </x:c>
      <x:c r="P97" s="43" t="str">
        <x:v>https://docs.aws.amazon.com/aws-certification/latest/ai-professional-01/ai-professional-01-domain3.html</x:v>
      </x:c>
    </x:row>
    <x:row r="98" ht="42" customHeight="1">
      <x:c r="A98" s="57" t="n">
        <x:v>93</x:v>
      </x:c>
      <x:c r="B98" s="42" t="str">
        <x:v>Fairness metrics and subgroup evaluation</x:v>
      </x:c>
      <x:c r="C98" s="63" t="n">
        <x:v>7</x:v>
      </x:c>
      <x:c r="D98" s="42" t="str">
        <x:v>Layer 7 — Governance and responsible AI</x:v>
      </x:c>
      <x:c r="E98" s="42" t="str">
        <x:v>Official skill-derived</x:v>
      </x:c>
      <x:c r="F98" s="42" t="str">
        <x:v>3.4.2</x:v>
      </x:c>
      <x:c r="G98" s="42" t="str">
        <x:v>3.4 Implement responsible AI principles</x:v>
      </x:c>
      <x:c r="H98" s="42" t="str">
        <x:v>10, 74, 75, 92</x:v>
      </x:c>
      <x:c r="I98" s="42" t="str"/>
      <x:c r="J98" s="63" t="str">
        <x:f>IF(AND(H98="",I98=""),"None",IF(I98="","Hard","Mixed"))</x:f>
        <x:v>Hard</x:v>
      </x:c>
      <x:c r="K98" s="63" t="str">
        <x:v>Level 4 — Select/Diagnose</x:v>
      </x:c>
      <x:c r="L98" s="63" t="str">
        <x:v>Soft</x:v>
      </x:c>
      <x:c r="M98" s="42" t="str">
        <x:v>Map requirements to controls, owners, evidence, and escalation; justify unresolved risks</x:v>
      </x:c>
      <x:c r="N98" s="42" t="str">
        <x:v>Conceptual; Procedural; Causal; Normative</x:v>
      </x:c>
      <x:c r="O98" s="42" t="str">
        <x:v>Fairness-metric lab and subgroup analysis</x:v>
      </x:c>
      <x:c r="P98" s="43" t="str">
        <x:v>https://docs.aws.amazon.com/aws-certification/latest/ai-professional-01/ai-professional-01-domain3.html</x:v>
      </x:c>
    </x:row>
    <x:row r="99" ht="42" customHeight="1">
      <x:c r="A99" s="57" t="n">
        <x:v>94</x:v>
      </x:c>
      <x:c r="B99" s="42" t="str">
        <x:v>Responsible-AI policy enforcement</x:v>
      </x:c>
      <x:c r="C99" s="63" t="n">
        <x:v>7</x:v>
      </x:c>
      <x:c r="D99" s="42" t="str">
        <x:v>Layer 7 — Governance and responsible AI</x:v>
      </x:c>
      <x:c r="E99" s="42" t="str">
        <x:v>Official skill-derived</x:v>
      </x:c>
      <x:c r="F99" s="42" t="str">
        <x:v>3.4.3</x:v>
      </x:c>
      <x:c r="G99" s="42" t="str">
        <x:v>3.4 Implement responsible AI principles</x:v>
      </x:c>
      <x:c r="H99" s="42" t="str">
        <x:v>80, 89, 90, 93</x:v>
      </x:c>
      <x:c r="I99" s="42" t="str"/>
      <x:c r="J99" s="63" t="str">
        <x:f>IF(AND(H99="",I99=""),"None",IF(I99="","Hard","Mixed"))</x:f>
        <x:v>Hard</x:v>
      </x:c>
      <x:c r="K99" s="63" t="str">
        <x:v>Level 3 — Apply/Implement</x:v>
      </x:c>
      <x:c r="L99" s="63" t="str">
        <x:v>Soft</x:v>
      </x:c>
      <x:c r="M99" s="42" t="str">
        <x:v>Map requirements to controls, owners, evidence, and escalation; justify unresolved risks</x:v>
      </x:c>
      <x:c r="N99" s="42" t="str">
        <x:v>Procedural; Strategic; Normative; Institutional</x:v>
      </x:c>
      <x:c r="O99" s="42" t="str">
        <x:v>Policy-enforcement implementation exercise</x:v>
      </x:c>
      <x:c r="P99" s="43" t="str">
        <x:v>https://docs.aws.amazon.com/aws-certification/latest/ai-professional-01/ai-professional-01-domain3.html</x:v>
      </x:c>
    </x:row>
    <x:row r="100" ht="42" customHeight="1">
      <x:c r="A100" s="57" t="n">
        <x:v>95</x:v>
      </x:c>
      <x:c r="B100" s="42" t="str">
        <x:v>Regulatory readiness and governance evidence</x:v>
      </x:c>
      <x:c r="C100" s="63" t="n">
        <x:v>7</x:v>
      </x:c>
      <x:c r="D100" s="42" t="str">
        <x:v>Layer 7 — Governance and responsible AI</x:v>
      </x:c>
      <x:c r="E100" s="42" t="str">
        <x:v>Official skill-derived</x:v>
      </x:c>
      <x:c r="F100" s="42" t="str">
        <x:v>3.3.4; 3.4.3</x:v>
      </x:c>
      <x:c r="G100" s="42" t="str">
        <x:v>3.3 Implement AI governance and compliance mechanisms; 3.4 Implement responsible AI principles</x:v>
      </x:c>
      <x:c r="H100" s="42" t="str">
        <x:v>86, 87, 88, 89, 90, 91, 92, 93, 94</x:v>
      </x:c>
      <x:c r="I100" s="42" t="str"/>
      <x:c r="J100" s="63" t="str">
        <x:f>IF(AND(H100="",I100=""),"None",IF(I100="","Hard","Mixed"))</x:f>
        <x:v>Hard</x:v>
      </x:c>
      <x:c r="K100" s="63" t="str">
        <x:v>Level 5 — Design/Defend</x:v>
      </x:c>
      <x:c r="L100" s="63" t="str">
        <x:v>Soft</x:v>
      </x:c>
      <x:c r="M100" s="42" t="str">
        <x:v>Map requirements to controls, owners, evidence, and escalation; justify unresolved risks</x:v>
      </x:c>
      <x:c r="N100" s="42" t="str">
        <x:v>Strategic; Normative; Institutional</x:v>
      </x:c>
      <x:c r="O100" s="42" t="str">
        <x:v>Mock audit and governance-evidence package</x:v>
      </x:c>
      <x:c r="P100" s="43" t="str">
        <x:v>https://docs.aws.amazon.com/aws-certification/latest/ai-professional-01/ai-professional-01-domain3.html</x:v>
      </x:c>
    </x:row>
    <x:row r="101" ht="42" customHeight="1">
      <x:c r="A101" s="57" t="n">
        <x:v>96</x:v>
      </x:c>
      <x:c r="B101" s="42" t="str">
        <x:v>Token estimation, tracking, pruning, and prompt compression</x:v>
      </x:c>
      <x:c r="C101" s="63" t="n">
        <x:v>8</x:v>
      </x:c>
      <x:c r="D101" s="42" t="str">
        <x:v>Layer 8 — Cost, performance, and operations</x:v>
      </x:c>
      <x:c r="E101" s="42" t="str">
        <x:v>Official skill-derived</x:v>
      </x:c>
      <x:c r="F101" s="42" t="str">
        <x:v>4.1.1</x:v>
      </x:c>
      <x:c r="G101" s="42" t="str">
        <x:v>4.1 Implement cost optimization and resource efficiency strategies</x:v>
      </x:c>
      <x:c r="H101" s="42" t="str">
        <x:v>2, 10, 28</x:v>
      </x:c>
      <x:c r="I101" s="42" t="str"/>
      <x:c r="J101" s="63" t="str">
        <x:f>IF(AND(H101="",I101=""),"None",IF(I101="","Hard","Mixed"))</x:f>
        <x:v>Hard</x:v>
      </x:c>
      <x:c r="K101" s="63" t="str">
        <x:v>Level 3 — Apply/Implement</x:v>
      </x:c>
      <x:c r="L101" s="63" t="str">
        <x:v>Hard</x:v>
      </x:c>
      <x:c r="M101" s="42" t="str">
        <x:v>Improve a prompt against a fixed test set and demonstrate that no critical regression was introduced</x:v>
      </x:c>
      <x:c r="N101" s="42" t="str">
        <x:v>Procedural; Causal; Conditional</x:v>
      </x:c>
      <x:c r="O101" s="42" t="str">
        <x:v>Token profiling and prompt-compression experiment</x:v>
      </x:c>
      <x:c r="P101" s="43" t="str">
        <x:v>https://docs.aws.amazon.com/aws-certification/latest/ai-professional-01/ai-professional-01-domain4.html</x:v>
      </x:c>
    </x:row>
    <x:row r="102" ht="42" customHeight="1">
      <x:c r="A102" s="57" t="n">
        <x:v>97</x:v>
      </x:c>
      <x:c r="B102" s="42" t="str">
        <x:v>Response-size and context-window optimization</x:v>
      </x:c>
      <x:c r="C102" s="63" t="n">
        <x:v>8</x:v>
      </x:c>
      <x:c r="D102" s="42" t="str">
        <x:v>Layer 8 — Cost, performance, and operations</x:v>
      </x:c>
      <x:c r="E102" s="42" t="str">
        <x:v>Official skill-derived</x:v>
      </x:c>
      <x:c r="F102" s="42" t="str">
        <x:v>4.1.1</x:v>
      </x:c>
      <x:c r="G102" s="42" t="str">
        <x:v>4.1 Implement cost optimization and resource efficiency strategies</x:v>
      </x:c>
      <x:c r="H102" s="42" t="str">
        <x:v>2, 20, 96</x:v>
      </x:c>
      <x:c r="I102" s="42" t="str"/>
      <x:c r="J102" s="63" t="str">
        <x:f>IF(AND(H102="",I102=""),"None",IF(I102="","Hard","Mixed"))</x:f>
        <x:v>Hard</x:v>
      </x:c>
      <x:c r="K102" s="63" t="str">
        <x:v>Level 3 — Apply/Implement</x:v>
      </x:c>
      <x:c r="L102" s="63" t="str">
        <x:v>Hard</x:v>
      </x:c>
      <x:c r="M102" s="42" t="str">
        <x:v>Benchmark a baseline, apply one justified change, and explain the measured quality/cost/performance effect</x:v>
      </x:c>
      <x:c r="N102" s="42" t="str">
        <x:v>Procedural; Causal; Conditional</x:v>
      </x:c>
      <x:c r="O102" s="42" t="str">
        <x:v>Context-size and response-limit benchmark</x:v>
      </x:c>
      <x:c r="P102" s="43" t="str">
        <x:v>https://docs.aws.amazon.com/aws-certification/latest/ai-professional-01/ai-professional-01-domain4.html</x:v>
      </x:c>
    </x:row>
    <x:row r="103" ht="42" customHeight="1">
      <x:c r="A103" s="57" t="n">
        <x:v>98</x:v>
      </x:c>
      <x:c r="B103" s="42" t="str">
        <x:v>Cost-effective model selection and tiered model use</x:v>
      </x:c>
      <x:c r="C103" s="63" t="n">
        <x:v>8</x:v>
      </x:c>
      <x:c r="D103" s="42" t="str">
        <x:v>Layer 8 — Cost, performance, and operations</x:v>
      </x:c>
      <x:c r="E103" s="42" t="str">
        <x:v>Official skill-derived</x:v>
      </x:c>
      <x:c r="F103" s="42" t="str">
        <x:v>4.1.2; 2.2.3</x:v>
      </x:c>
      <x:c r="G103" s="42" t="str">
        <x:v>4.1 Implement cost optimization and resource efficiency strategies; 2.2 Implement model deployment strategies</x:v>
      </x:c>
      <x:c r="H103" s="42" t="str">
        <x:v>39, 40, 41</x:v>
      </x:c>
      <x:c r="I103" s="42" t="str">
        <x:v>44</x:v>
      </x:c>
      <x:c r="J103" s="63" t="str">
        <x:f>IF(AND(H103="",I103=""),"None",IF(I103="","Hard","Mixed"))</x:f>
        <x:v>Mixed</x:v>
      </x:c>
      <x:c r="K103" s="63" t="str">
        <x:v>Level 4 — Select/Diagnose</x:v>
      </x:c>
      <x:c r="L103" s="63" t="str">
        <x:v>Hard</x:v>
      </x:c>
      <x:c r="M103" s="42" t="str">
        <x:v>Benchmark a baseline, apply one justified change, and explain the measured quality/cost/performance effect</x:v>
      </x:c>
      <x:c r="N103" s="42" t="str">
        <x:v>Causal; Conditional; Strategic</x:v>
      </x:c>
      <x:c r="O103" s="42" t="str">
        <x:v>Tiered-model routing and cost exercise</x:v>
      </x:c>
      <x:c r="P103" s="43" t="str">
        <x:v>https://docs.aws.amazon.com/aws-certification/latest/ai-professional-01/ai-professional-01.html</x:v>
      </x:c>
    </x:row>
    <x:row r="104" ht="42" customHeight="1">
      <x:c r="A104" s="57" t="n">
        <x:v>99</x:v>
      </x:c>
      <x:c r="B104" s="42" t="str">
        <x:v>Semantic, prompt, deterministic, and edge caching</x:v>
      </x:c>
      <x:c r="C104" s="63" t="n">
        <x:v>8</x:v>
      </x:c>
      <x:c r="D104" s="42" t="str">
        <x:v>Layer 8 — Cost, performance, and operations</x:v>
      </x:c>
      <x:c r="E104" s="42" t="str">
        <x:v>Official skill-derived</x:v>
      </x:c>
      <x:c r="F104" s="42" t="str">
        <x:v>4.1.4</x:v>
      </x:c>
      <x:c r="G104" s="42" t="str">
        <x:v>4.1 Implement cost optimization and resource efficiency strategies</x:v>
      </x:c>
      <x:c r="H104" s="42" t="str">
        <x:v>20, 32, 96</x:v>
      </x:c>
      <x:c r="I104" s="42" t="str"/>
      <x:c r="J104" s="63" t="str">
        <x:f>IF(AND(H104="",I104=""),"None",IF(I104="","Hard","Mixed"))</x:f>
        <x:v>Hard</x:v>
      </x:c>
      <x:c r="K104" s="63" t="str">
        <x:v>Level 3 — Apply/Implement</x:v>
      </x:c>
      <x:c r="L104" s="63" t="str">
        <x:v>Hard</x:v>
      </x:c>
      <x:c r="M104" s="42" t="str">
        <x:v>Benchmark a baseline, apply one justified change, and explain the measured quality/cost/performance effect</x:v>
      </x:c>
      <x:c r="N104" s="42" t="str">
        <x:v>Conceptual; Procedural; Causal; Conditional</x:v>
      </x:c>
      <x:c r="O104" s="42" t="str">
        <x:v>Caching laboratory including stale-data and privacy tests</x:v>
      </x:c>
      <x:c r="P104" s="43" t="str">
        <x:v>https://docs.aws.amazon.com/aws-certification/latest/ai-professional-01/ai-professional-01-domain4.html</x:v>
      </x:c>
    </x:row>
    <x:row r="105" ht="42" customHeight="1">
      <x:c r="A105" s="57" t="n">
        <x:v>100</x:v>
      </x:c>
      <x:c r="B105" s="42" t="str">
        <x:v>Batching and batch inference</x:v>
      </x:c>
      <x:c r="C105" s="63" t="n">
        <x:v>8</x:v>
      </x:c>
      <x:c r="D105" s="42" t="str">
        <x:v>Layer 8 — Cost, performance, and operations</x:v>
      </x:c>
      <x:c r="E105" s="42" t="str">
        <x:v>Official skill-derived</x:v>
      </x:c>
      <x:c r="F105" s="42" t="str">
        <x:v>4.1.3; 4.2.3</x:v>
      </x:c>
      <x:c r="G105" s="42" t="str">
        <x:v>4.1 Implement cost optimization and resource efficiency strategies; 4.2 Optimize application performance</x:v>
      </x:c>
      <x:c r="H105" s="42" t="str">
        <x:v>33, 44</x:v>
      </x:c>
      <x:c r="I105" s="42" t="str"/>
      <x:c r="J105" s="63" t="str">
        <x:f>IF(AND(H105="",I105=""),"None",IF(I105="","Hard","Mixed"))</x:f>
        <x:v>Hard</x:v>
      </x:c>
      <x:c r="K105" s="63" t="str">
        <x:v>Level 3 — Apply/Implement</x:v>
      </x:c>
      <x:c r="L105" s="63" t="str">
        <x:v>Soft</x:v>
      </x:c>
      <x:c r="M105" s="42" t="str">
        <x:v>Benchmark a baseline, apply one justified change, and explain the measured quality/cost/performance effect</x:v>
      </x:c>
      <x:c r="N105" s="42" t="str">
        <x:v>Procedural; Causal; Conditional</x:v>
      </x:c>
      <x:c r="O105" s="42" t="str">
        <x:v>Batch-versus-real-time benchmark</x:v>
      </x:c>
      <x:c r="P105" s="43" t="str">
        <x:v>https://docs.aws.amazon.com/aws-certification/latest/ai-professional-01/ai-professional-01-domain4.html</x:v>
      </x:c>
    </x:row>
    <x:row r="106" ht="42" customHeight="1">
      <x:c r="A106" s="57" t="n">
        <x:v>101</x:v>
      </x:c>
      <x:c r="B106" s="42" t="str">
        <x:v>Throughput and concurrency management</x:v>
      </x:c>
      <x:c r="C106" s="63" t="n">
        <x:v>8</x:v>
      </x:c>
      <x:c r="D106" s="42" t="str">
        <x:v>Layer 8 — Cost, performance, and operations</x:v>
      </x:c>
      <x:c r="E106" s="42" t="str">
        <x:v>Official skill-derived</x:v>
      </x:c>
      <x:c r="F106" s="42" t="str">
        <x:v>4.1.3; 4.2.3</x:v>
      </x:c>
      <x:c r="G106" s="42" t="str">
        <x:v>4.1 Implement cost optimization and resource efficiency strategies; 4.2 Optimize application performance</x:v>
      </x:c>
      <x:c r="H106" s="42" t="str">
        <x:v>34, 36, 44, 100</x:v>
      </x:c>
      <x:c r="I106" s="42" t="str"/>
      <x:c r="J106" s="63" t="str">
        <x:f>IF(AND(H106="",I106=""),"None",IF(I106="","Hard","Mixed"))</x:f>
        <x:v>Hard</x:v>
      </x:c>
      <x:c r="K106" s="63" t="str">
        <x:v>Level 3 — Apply/Implement</x:v>
      </x:c>
      <x:c r="L106" s="63" t="str">
        <x:v>Hard</x:v>
      </x:c>
      <x:c r="M106" s="42" t="str">
        <x:v>Benchmark a baseline, apply one justified change, and explain the measured quality/cost/performance effect</x:v>
      </x:c>
      <x:c r="N106" s="42" t="str">
        <x:v>Conceptual; Procedural; Causal</x:v>
      </x:c>
      <x:c r="O106" s="42" t="str">
        <x:v>Load and concurrency testing</x:v>
      </x:c>
      <x:c r="P106" s="43" t="str">
        <x:v>https://docs.aws.amazon.com/aws-certification/latest/ai-professional-01/ai-professional-01-domain4.html</x:v>
      </x:c>
    </x:row>
    <x:row r="107" ht="42" customHeight="1">
      <x:c r="A107" s="57" t="n">
        <x:v>102</x:v>
      </x:c>
      <x:c r="B107" s="42" t="str">
        <x:v>Capacity planning, provisioned throughput, and autoscaling</x:v>
      </x:c>
      <x:c r="C107" s="63" t="n">
        <x:v>8</x:v>
      </x:c>
      <x:c r="D107" s="42" t="str">
        <x:v>Layer 8 — Cost, performance, and operations</x:v>
      </x:c>
      <x:c r="E107" s="42" t="str">
        <x:v>Official skill-derived</x:v>
      </x:c>
      <x:c r="F107" s="42" t="str">
        <x:v>4.1.3; 4.2.5</x:v>
      </x:c>
      <x:c r="G107" s="42" t="str">
        <x:v>4.1 Implement cost optimization and resource efficiency strategies; 4.2 Optimize application performance</x:v>
      </x:c>
      <x:c r="H107" s="42" t="str">
        <x:v>44, 101</x:v>
      </x:c>
      <x:c r="I107" s="42" t="str"/>
      <x:c r="J107" s="63" t="str">
        <x:f>IF(AND(H107="",I107=""),"None",IF(I107="","Hard","Mixed"))</x:f>
        <x:v>Hard</x:v>
      </x:c>
      <x:c r="K107" s="63" t="str">
        <x:v>Level 4 — Select/Diagnose</x:v>
      </x:c>
      <x:c r="L107" s="63" t="str">
        <x:v>Hard</x:v>
      </x:c>
      <x:c r="M107" s="42" t="str">
        <x:v>Benchmark a baseline, apply one justified change, and explain the measured quality/cost/performance effect</x:v>
      </x:c>
      <x:c r="N107" s="42" t="str">
        <x:v>Conceptual; Causal; Conditional; Strategic</x:v>
      </x:c>
      <x:c r="O107" s="42" t="str">
        <x:v>Capacity model and autoscaling simulation</x:v>
      </x:c>
      <x:c r="P107" s="43" t="str">
        <x:v>https://docs.aws.amazon.com/aws-certification/latest/ai-professional-01/ai-professional-01-domain4.html</x:v>
      </x:c>
    </x:row>
    <x:row r="108" ht="42" customHeight="1">
      <x:c r="A108" s="57" t="n">
        <x:v>103</x:v>
      </x:c>
      <x:c r="B108" s="42" t="str">
        <x:v>Latency decomposition, streaming, parallelism, and precomputation</x:v>
      </x:c>
      <x:c r="C108" s="63" t="n">
        <x:v>8</x:v>
      </x:c>
      <x:c r="D108" s="42" t="str">
        <x:v>Layer 8 — Cost, performance, and operations</x:v>
      </x:c>
      <x:c r="E108" s="42" t="str">
        <x:v>Official skill-derived</x:v>
      </x:c>
      <x:c r="F108" s="42" t="str">
        <x:v>4.2.1</x:v>
      </x:c>
      <x:c r="G108" s="42" t="str">
        <x:v>4.2 Optimize application performance</x:v>
      </x:c>
      <x:c r="H108" s="42" t="str">
        <x:v>34, 37, 101</x:v>
      </x:c>
      <x:c r="I108" s="42" t="str"/>
      <x:c r="J108" s="63" t="str">
        <x:f>IF(AND(H108="",I108=""),"None",IF(I108="","Hard","Mixed"))</x:f>
        <x:v>Hard</x:v>
      </x:c>
      <x:c r="K108" s="63" t="str">
        <x:v>Level 4 — Select/Diagnose</x:v>
      </x:c>
      <x:c r="L108" s="63" t="str">
        <x:v>Hard</x:v>
      </x:c>
      <x:c r="M108" s="42" t="str">
        <x:v>Benchmark a baseline, apply one justified change, and explain the measured quality/cost/performance effect</x:v>
      </x:c>
      <x:c r="N108" s="42" t="str">
        <x:v>Causal; Conditional; Strategic</x:v>
      </x:c>
      <x:c r="O108" s="42" t="str">
        <x:v>Latency decomposition and parallel/streaming experiment</x:v>
      </x:c>
      <x:c r="P108" s="43" t="str">
        <x:v>https://docs.aws.amazon.com/aws-certification/latest/ai-professional-01/ai-professional-01-domain4.html</x:v>
      </x:c>
    </x:row>
    <x:row r="109" ht="42" customHeight="1">
      <x:c r="A109" s="57" t="n">
        <x:v>104</x:v>
      </x:c>
      <x:c r="B109" s="42" t="str">
        <x:v>Retrieval and vector-index performance optimization</x:v>
      </x:c>
      <x:c r="C109" s="63" t="n">
        <x:v>8</x:v>
      </x:c>
      <x:c r="D109" s="42" t="str">
        <x:v>Layer 8 — Cost, performance, and operations</x:v>
      </x:c>
      <x:c r="E109" s="42" t="str">
        <x:v>Official skill-derived</x:v>
      </x:c>
      <x:c r="F109" s="42" t="str">
        <x:v>4.2.2; 4.2.6</x:v>
      </x:c>
      <x:c r="G109" s="42" t="str">
        <x:v>4.2 Optimize application performance</x:v>
      </x:c>
      <x:c r="H109" s="42" t="str">
        <x:v>18, 21, 22, 26</x:v>
      </x:c>
      <x:c r="I109" s="42" t="str"/>
      <x:c r="J109" s="63" t="str">
        <x:f>IF(AND(H109="",I109=""),"None",IF(I109="","Hard","Mixed"))</x:f>
        <x:v>Hard</x:v>
      </x:c>
      <x:c r="K109" s="63" t="str">
        <x:v>Level 4 — Select/Diagnose</x:v>
      </x:c>
      <x:c r="L109" s="63" t="str">
        <x:v>Hard</x:v>
      </x:c>
      <x:c r="M109" s="42" t="str">
        <x:v>Benchmark a baseline, apply one justified change, and explain the measured quality/cost/performance effect</x:v>
      </x:c>
      <x:c r="N109" s="42" t="str">
        <x:v>Procedural; Causal; Conditional; Embedded</x:v>
      </x:c>
      <x:c r="O109" s="42" t="str">
        <x:v>Vector-query and index-performance benchmark</x:v>
      </x:c>
      <x:c r="P109" s="43" t="str">
        <x:v>https://docs.aws.amazon.com/aws-certification/latest/ai-professional-01/ai-professional-01-domain4.html</x:v>
      </x:c>
    </x:row>
    <x:row r="110" ht="42" customHeight="1">
      <x:c r="A110" s="57" t="n">
        <x:v>105</x:v>
      </x:c>
      <x:c r="B110" s="42" t="str">
        <x:v>FM parameter optimization and A/B testing</x:v>
      </x:c>
      <x:c r="C110" s="63" t="n">
        <x:v>8</x:v>
      </x:c>
      <x:c r="D110" s="42" t="str">
        <x:v>Layer 8 — Cost, performance, and operations</x:v>
      </x:c>
      <x:c r="E110" s="42" t="str">
        <x:v>Official skill-derived</x:v>
      </x:c>
      <x:c r="F110" s="42" t="str">
        <x:v>4.2.4</x:v>
      </x:c>
      <x:c r="G110" s="42" t="str">
        <x:v>4.2 Optimize application performance</x:v>
      </x:c>
      <x:c r="H110" s="42" t="str">
        <x:v>2, 10, 39</x:v>
      </x:c>
      <x:c r="I110" s="42" t="str"/>
      <x:c r="J110" s="63" t="str">
        <x:f>IF(AND(H110="",I110=""),"None",IF(I110="","Hard","Mixed"))</x:f>
        <x:v>Hard</x:v>
      </x:c>
      <x:c r="K110" s="63" t="str">
        <x:v>Level 3 — Apply/Implement</x:v>
      </x:c>
      <x:c r="L110" s="63" t="str">
        <x:v>Soft</x:v>
      </x:c>
      <x:c r="M110" s="42" t="str">
        <x:v>Benchmark a baseline, apply one justified change, and explain the measured quality/cost/performance effect</x:v>
      </x:c>
      <x:c r="N110" s="42" t="str">
        <x:v>Procedural; Causal; Conditional</x:v>
      </x:c>
      <x:c r="O110" s="42" t="str">
        <x:v>Model-parameter A/B experiment</x:v>
      </x:c>
      <x:c r="P110" s="43" t="str">
        <x:v>https://docs.aws.amazon.com/aws-certification/latest/ai-professional-01/ai-professional-01-domain4.html</x:v>
      </x:c>
    </x:row>
    <x:row r="111" ht="42" customHeight="1">
      <x:c r="A111" s="57" t="n">
        <x:v>106</x:v>
      </x:c>
      <x:c r="B111" s="42" t="str">
        <x:v>End-to-end GenAI workflow profiling</x:v>
      </x:c>
      <x:c r="C111" s="63" t="n">
        <x:v>8</x:v>
      </x:c>
      <x:c r="D111" s="42" t="str">
        <x:v>Layer 8 — Cost, performance, and operations</x:v>
      </x:c>
      <x:c r="E111" s="42" t="str">
        <x:v>Official skill-derived</x:v>
      </x:c>
      <x:c r="F111" s="42" t="str">
        <x:v>4.2.6</x:v>
      </x:c>
      <x:c r="G111" s="42" t="str">
        <x:v>4.2 Optimize application performance</x:v>
      </x:c>
      <x:c r="H111" s="42" t="str">
        <x:v>38, 97, 98, 99, 100, 101, 102, 103, 104, 105</x:v>
      </x:c>
      <x:c r="I111" s="42" t="str"/>
      <x:c r="J111" s="63" t="str">
        <x:f>IF(AND(H111="",I111=""),"None",IF(I111="","Hard","Mixed"))</x:f>
        <x:v>Hard</x:v>
      </x:c>
      <x:c r="K111" s="63" t="str">
        <x:v>Level 4 — Select/Diagnose</x:v>
      </x:c>
      <x:c r="L111" s="63" t="str">
        <x:v>Hard</x:v>
      </x:c>
      <x:c r="M111" s="42" t="str">
        <x:v>Benchmark a baseline, apply one justified change, and explain the measured quality/cost/performance effect</x:v>
      </x:c>
      <x:c r="N111" s="42" t="str">
        <x:v>Diagnostic/Causal; Procedural; Strategic; Tacit</x:v>
      </x:c>
      <x:c r="O111" s="42" t="str">
        <x:v>End-to-end profiling and bottleneck-removal lab</x:v>
      </x:c>
      <x:c r="P111" s="43" t="str">
        <x:v>https://docs.aws.amazon.com/aws-certification/latest/ai-professional-01/ai-professional-01-domain4.html</x:v>
      </x:c>
    </x:row>
    <x:row r="112" ht="42" customHeight="1">
      <x:c r="A112" s="57" t="n">
        <x:v>107</x:v>
      </x:c>
      <x:c r="B112" s="42" t="str">
        <x:v>GenAI operational metrics, logs, traces, and dashboards</x:v>
      </x:c>
      <x:c r="C112" s="63" t="n">
        <x:v>9</x:v>
      </x:c>
      <x:c r="D112" s="42" t="str">
        <x:v>Layer 9 — Monitoring, evaluation, and troubleshooting</x:v>
      </x:c>
      <x:c r="E112" s="42" t="str">
        <x:v>Official skill-derived</x:v>
      </x:c>
      <x:c r="F112" s="42" t="str">
        <x:v>4.3.1</x:v>
      </x:c>
      <x:c r="G112" s="42" t="str">
        <x:v>4.3 Implement monitoring systems for GenAI applications</x:v>
      </x:c>
      <x:c r="H112" s="42" t="str">
        <x:v>38, 72, 106</x:v>
      </x:c>
      <x:c r="I112" s="42" t="str"/>
      <x:c r="J112" s="63" t="str">
        <x:f>IF(AND(H112="",I112=""),"None",IF(I112="","Hard","Mixed"))</x:f>
        <x:v>Hard</x:v>
      </x:c>
      <x:c r="K112" s="63" t="str">
        <x:v>Level 3 — Apply/Implement</x:v>
      </x:c>
      <x:c r="L112" s="63" t="str">
        <x:v>Hard</x:v>
      </x:c>
      <x:c r="M112" s="42" t="str">
        <x:v>Instrument the system, detect an injected anomaly, and identify the affected component</x:v>
      </x:c>
      <x:c r="N112" s="42" t="str">
        <x:v>Conceptual; Procedural; Embedded</x:v>
      </x:c>
      <x:c r="O112" s="42" t="str">
        <x:v>Observability model and dashboard implementation</x:v>
      </x:c>
      <x:c r="P112" s="43" t="str">
        <x:v>https://docs.aws.amazon.com/aws-certification/latest/ai-professional-01/ai-professional-01-domain4.html</x:v>
      </x:c>
    </x:row>
    <x:row r="113" ht="42" customHeight="1">
      <x:c r="A113" s="57" t="n">
        <x:v>108</x:v>
      </x:c>
      <x:c r="B113" s="42" t="str">
        <x:v>Token, cost, latency, throughput, and utilization monitoring</x:v>
      </x:c>
      <x:c r="C113" s="63" t="n">
        <x:v>9</x:v>
      </x:c>
      <x:c r="D113" s="42" t="str">
        <x:v>Layer 9 — Monitoring, evaluation, and troubleshooting</x:v>
      </x:c>
      <x:c r="E113" s="42" t="str">
        <x:v>Official skill-derived</x:v>
      </x:c>
      <x:c r="F113" s="42" t="str">
        <x:v>4.3.2</x:v>
      </x:c>
      <x:c r="G113" s="42" t="str">
        <x:v>4.3 Implement monitoring systems for GenAI applications</x:v>
      </x:c>
      <x:c r="H113" s="42" t="str">
        <x:v>96, 101, 102, 103, 107</x:v>
      </x:c>
      <x:c r="I113" s="42" t="str"/>
      <x:c r="J113" s="63" t="str">
        <x:f>IF(AND(H113="",I113=""),"None",IF(I113="","Hard","Mixed"))</x:f>
        <x:v>Hard</x:v>
      </x:c>
      <x:c r="K113" s="63" t="str">
        <x:v>Level 3 — Apply/Implement</x:v>
      </x:c>
      <x:c r="L113" s="63" t="str">
        <x:v>Hard</x:v>
      </x:c>
      <x:c r="M113" s="42" t="str">
        <x:v>Instrument the system, detect an injected anomaly, and identify the affected component</x:v>
      </x:c>
      <x:c r="N113" s="42" t="str">
        <x:v>Procedural; Causal; Embedded</x:v>
      </x:c>
      <x:c r="O113" s="42" t="str">
        <x:v>Instrument the application and analyze operational metrics</x:v>
      </x:c>
      <x:c r="P113" s="43" t="str">
        <x:v>https://docs.aws.amazon.com/aws-certification/latest/ai-professional-01/ai-professional-01-domain4.html</x:v>
      </x:c>
    </x:row>
    <x:row r="114" ht="42" customHeight="1">
      <x:c r="A114" s="57" t="n">
        <x:v>109</x:v>
      </x:c>
      <x:c r="B114" s="42" t="str">
        <x:v>Prompt effectiveness, response quality, hallucination, and drift monitoring</x:v>
      </x:c>
      <x:c r="C114" s="63" t="n">
        <x:v>9</x:v>
      </x:c>
      <x:c r="D114" s="42" t="str">
        <x:v>Layer 9 — Monitoring, evaluation, and troubleshooting</x:v>
      </x:c>
      <x:c r="E114" s="42" t="str">
        <x:v>Official skill-derived</x:v>
      </x:c>
      <x:c r="F114" s="42" t="str">
        <x:v>4.3.2; 4.3.6</x:v>
      </x:c>
      <x:c r="G114" s="42" t="str">
        <x:v>4.3 Implement monitoring systems for GenAI applications</x:v>
      </x:c>
      <x:c r="H114" s="42" t="str">
        <x:v>10, 30, 76, 107</x:v>
      </x:c>
      <x:c r="I114" s="42" t="str"/>
      <x:c r="J114" s="63" t="str">
        <x:f>IF(AND(H114="",I114=""),"None",IF(I114="","Hard","Mixed"))</x:f>
        <x:v>Hard</x:v>
      </x:c>
      <x:c r="K114" s="63" t="str">
        <x:v>Level 4 — Select/Diagnose</x:v>
      </x:c>
      <x:c r="L114" s="63" t="str">
        <x:v>Hard</x:v>
      </x:c>
      <x:c r="M114" s="42" t="str">
        <x:v>Instrument the system, detect an injected anomaly, and identify the affected component</x:v>
      </x:c>
      <x:c r="N114" s="42" t="str">
        <x:v>Procedural; Causal; Conditional; Embedded</x:v>
      </x:c>
      <x:c r="O114" s="42" t="str">
        <x:v>Quality, hallucination, and drift-monitoring lab</x:v>
      </x:c>
      <x:c r="P114" s="43" t="str">
        <x:v>https://docs.aws.amazon.com/aws-certification/latest/ai-professional-01/ai-professional-01-domain4.html</x:v>
      </x:c>
    </x:row>
    <x:row r="115" ht="42" customHeight="1">
      <x:c r="A115" s="57" t="n">
        <x:v>110</x:v>
      </x:c>
      <x:c r="B115" s="42" t="str">
        <x:v>Vector-store monitoring and index-health management</x:v>
      </x:c>
      <x:c r="C115" s="63" t="n">
        <x:v>9</x:v>
      </x:c>
      <x:c r="D115" s="42" t="str">
        <x:v>Layer 9 — Monitoring, evaluation, and troubleshooting</x:v>
      </x:c>
      <x:c r="E115" s="42" t="str">
        <x:v>Official skill-derived</x:v>
      </x:c>
      <x:c r="F115" s="42" t="str">
        <x:v>4.3.5</x:v>
      </x:c>
      <x:c r="G115" s="42" t="str">
        <x:v>4.3 Implement monitoring systems for GenAI applications</x:v>
      </x:c>
      <x:c r="H115" s="42" t="str">
        <x:v>18, 24, 104, 107</x:v>
      </x:c>
      <x:c r="I115" s="42" t="str"/>
      <x:c r="J115" s="63" t="str">
        <x:f>IF(AND(H115="",I115=""),"None",IF(I115="","Hard","Mixed"))</x:f>
        <x:v>Hard</x:v>
      </x:c>
      <x:c r="K115" s="63" t="str">
        <x:v>Level 3 — Apply/Implement</x:v>
      </x:c>
      <x:c r="L115" s="63" t="str">
        <x:v>Soft</x:v>
      </x:c>
      <x:c r="M115" s="42" t="str">
        <x:v>Instrument the system, detect an injected anomaly, and identify the affected component</x:v>
      </x:c>
      <x:c r="N115" s="42" t="str">
        <x:v>Procedural; Diagnostic/Causal; Embedded</x:v>
      </x:c>
      <x:c r="O115" s="42" t="str">
        <x:v>Vector-index health incident laboratory</x:v>
      </x:c>
      <x:c r="P115" s="43" t="str">
        <x:v>https://docs.aws.amazon.com/aws-certification/latest/ai-professional-01/ai-professional-01-domain4.html</x:v>
      </x:c>
    </x:row>
    <x:row r="116" ht="42" customHeight="1">
      <x:c r="A116" s="57" t="n">
        <x:v>111</x:v>
      </x:c>
      <x:c r="B116" s="42" t="str">
        <x:v>Tool-call and multi-agent coordination monitoring</x:v>
      </x:c>
      <x:c r="C116" s="63" t="n">
        <x:v>9</x:v>
      </x:c>
      <x:c r="D116" s="42" t="str">
        <x:v>Layer 9 — Monitoring, evaluation, and troubleshooting</x:v>
      </x:c>
      <x:c r="E116" s="42" t="str">
        <x:v>Official skill-derived</x:v>
      </x:c>
      <x:c r="F116" s="42" t="str">
        <x:v>4.3.4</x:v>
      </x:c>
      <x:c r="G116" s="42" t="str">
        <x:v>4.3 Implement monitoring systems for GenAI applications</x:v>
      </x:c>
      <x:c r="H116" s="42" t="str">
        <x:v>67, 72, 107</x:v>
      </x:c>
      <x:c r="I116" s="42" t="str"/>
      <x:c r="J116" s="63" t="str">
        <x:f>IF(AND(H116="",I116=""),"None",IF(I116="","Hard","Mixed"))</x:f>
        <x:v>Hard</x:v>
      </x:c>
      <x:c r="K116" s="63" t="str">
        <x:v>Level 3 — Apply/Implement</x:v>
      </x:c>
      <x:c r="L116" s="63" t="str">
        <x:v>Soft</x:v>
      </x:c>
      <x:c r="M116" s="42" t="str">
        <x:v>Instrument the system, detect an injected anomaly, and identify the affected component</x:v>
      </x:c>
      <x:c r="N116" s="42" t="str">
        <x:v>Procedural; Diagnostic/Causal; Embedded</x:v>
      </x:c>
      <x:c r="O116" s="42" t="str">
        <x:v>Tool and agent trace-anomaly laboratory</x:v>
      </x:c>
      <x:c r="P116" s="43" t="str">
        <x:v>https://docs.aws.amazon.com/aws-certification/latest/ai-professional-01/ai-professional-01-domain4.html</x:v>
      </x:c>
    </x:row>
    <x:row r="117" ht="42" customHeight="1">
      <x:c r="A117" s="57" t="n">
        <x:v>112</x:v>
      </x:c>
      <x:c r="B117" s="42" t="str">
        <x:v>Business, compliance, forensic, and user-impact observability</x:v>
      </x:c>
      <x:c r="C117" s="63" t="n">
        <x:v>9</x:v>
      </x:c>
      <x:c r="D117" s="42" t="str">
        <x:v>Layer 9 — Monitoring, evaluation, and troubleshooting</x:v>
      </x:c>
      <x:c r="E117" s="42" t="str">
        <x:v>Official skill-derived</x:v>
      </x:c>
      <x:c r="F117" s="42" t="str">
        <x:v>4.3.3; 5.1.8</x:v>
      </x:c>
      <x:c r="G117" s="42" t="str">
        <x:v>4.3 Implement monitoring systems for GenAI applications; 5.1 Implement evaluation systems for GenAI</x:v>
      </x:c>
      <x:c r="H117" s="42" t="str">
        <x:v>88, 89, 107, 108, 109, 110, 111</x:v>
      </x:c>
      <x:c r="I117" s="42" t="str">
        <x:v>6</x:v>
      </x:c>
      <x:c r="J117" s="63" t="str">
        <x:f>IF(AND(H117="",I117=""),"None",IF(I117="","Hard","Mixed"))</x:f>
        <x:v>Mixed</x:v>
      </x:c>
      <x:c r="K117" s="63" t="str">
        <x:v>Level 4 — Select/Diagnose</x:v>
      </x:c>
      <x:c r="L117" s="63" t="str">
        <x:v>Hard</x:v>
      </x:c>
      <x:c r="M117" s="42" t="str">
        <x:v>Instrument the system, detect an injected anomaly, and identify the affected component</x:v>
      </x:c>
      <x:c r="N117" s="42" t="str">
        <x:v>Conceptual; Strategic; Normative; Institutional</x:v>
      </x:c>
      <x:c r="O117" s="42" t="str">
        <x:v>Multi-audience observability design exercise</x:v>
      </x:c>
      <x:c r="P117" s="43" t="str">
        <x:v>https://docs.aws.amazon.com/aws-certification/latest/ai-professional-01/ai-professional-01.html</x:v>
      </x:c>
    </x:row>
    <x:row r="118" ht="42" customHeight="1">
      <x:c r="A118" s="57" t="n">
        <x:v>113</x:v>
      </x:c>
      <x:c r="B118" s="42" t="str">
        <x:v>Model-output quality metrics</x:v>
      </x:c>
      <x:c r="C118" s="63" t="n">
        <x:v>9</x:v>
      </x:c>
      <x:c r="D118" s="42" t="str">
        <x:v>Layer 9 — Monitoring, evaluation, and troubleshooting</x:v>
      </x:c>
      <x:c r="E118" s="42" t="str">
        <x:v>Official skill-derived</x:v>
      </x:c>
      <x:c r="F118" s="42" t="str">
        <x:v>5.1.1</x:v>
      </x:c>
      <x:c r="G118" s="42" t="str">
        <x:v>5.1 Implement evaluation systems for GenAI</x:v>
      </x:c>
      <x:c r="H118" s="42" t="str">
        <x:v>10, 109</x:v>
      </x:c>
      <x:c r="I118" s="42" t="str"/>
      <x:c r="J118" s="63" t="str">
        <x:f>IF(AND(H118="",I118=""),"None",IF(I118="","Hard","Mixed"))</x:f>
        <x:v>Hard</x:v>
      </x:c>
      <x:c r="K118" s="63" t="str">
        <x:v>Level 3 — Apply/Implement</x:v>
      </x:c>
      <x:c r="L118" s="63" t="str">
        <x:v>Hard</x:v>
      </x:c>
      <x:c r="M118" s="42" t="str">
        <x:v>Build or apply an evaluation set, interpret results, and make a justified release or model decision</x:v>
      </x:c>
      <x:c r="N118" s="42" t="str">
        <x:v>Declarative; Conceptual; Conditional</x:v>
      </x:c>
      <x:c r="O118" s="42" t="str">
        <x:v>Metric-selection and scoring exercise</x:v>
      </x:c>
      <x:c r="P118" s="43" t="str">
        <x:v>https://docs.aws.amazon.com/aws-certification/latest/ai-professional-01/ai-professional-01-domain5.html</x:v>
      </x:c>
    </x:row>
    <x:row r="119" ht="42" customHeight="1">
      <x:c r="A119" s="57" t="n">
        <x:v>114</x:v>
      </x:c>
      <x:c r="B119" s="42" t="str">
        <x:v>Bedrock Model Evaluations</x:v>
      </x:c>
      <x:c r="C119" s="63" t="n">
        <x:v>9</x:v>
      </x:c>
      <x:c r="D119" s="42" t="str">
        <x:v>Layer 9 — Monitoring, evaluation, and troubleshooting</x:v>
      </x:c>
      <x:c r="E119" s="42" t="str">
        <x:v>Official skill-derived</x:v>
      </x:c>
      <x:c r="F119" s="42" t="str">
        <x:v>5.1.2</x:v>
      </x:c>
      <x:c r="G119" s="42" t="str">
        <x:v>5.1 Implement evaluation systems for GenAI</x:v>
      </x:c>
      <x:c r="H119" s="42" t="str">
        <x:v>39, 113</x:v>
      </x:c>
      <x:c r="I119" s="42" t="str"/>
      <x:c r="J119" s="63" t="str">
        <x:f>IF(AND(H119="",I119=""),"None",IF(I119="","Hard","Mixed"))</x:f>
        <x:v>Hard</x:v>
      </x:c>
      <x:c r="K119" s="63" t="str">
        <x:v>Level 3 — Apply/Implement</x:v>
      </x:c>
      <x:c r="L119" s="63" t="str">
        <x:v>Soft</x:v>
      </x:c>
      <x:c r="M119" s="42" t="str">
        <x:v>Build or apply an evaluation set, interpret results, and make a justified release or model decision</x:v>
      </x:c>
      <x:c r="N119" s="42" t="str">
        <x:v>Procedural; Conditional; Embedded</x:v>
      </x:c>
      <x:c r="O119" s="42" t="str">
        <x:v>Amazon Bedrock Model Evaluations laboratory</x:v>
      </x:c>
      <x:c r="P119" s="43" t="str">
        <x:v>https://docs.aws.amazon.com/aws-certification/latest/ai-professional-01/ai-professional-01-domain5.html</x:v>
      </x:c>
    </x:row>
    <x:row r="120" ht="42" customHeight="1">
      <x:c r="A120" s="57" t="n">
        <x:v>115</x:v>
      </x:c>
      <x:c r="B120" s="42" t="str">
        <x:v>Human evaluation and annotation workflows</x:v>
      </x:c>
      <x:c r="C120" s="63" t="n">
        <x:v>9</x:v>
      </x:c>
      <x:c r="D120" s="42" t="str">
        <x:v>Layer 9 — Monitoring, evaluation, and troubleshooting</x:v>
      </x:c>
      <x:c r="E120" s="42" t="str">
        <x:v>Official skill-derived</x:v>
      </x:c>
      <x:c r="F120" s="42" t="str">
        <x:v>5.1.3; 5.1.5</x:v>
      </x:c>
      <x:c r="G120" s="42" t="str">
        <x:v>5.1 Implement evaluation systems for GenAI</x:v>
      </x:c>
      <x:c r="H120" s="42" t="str">
        <x:v>10, 93, 113</x:v>
      </x:c>
      <x:c r="I120" s="42" t="str"/>
      <x:c r="J120" s="63" t="str">
        <x:f>IF(AND(H120="",I120=""),"None",IF(I120="","Hard","Mixed"))</x:f>
        <x:v>Hard</x:v>
      </x:c>
      <x:c r="K120" s="63" t="str">
        <x:v>Level 3 — Apply/Implement</x:v>
      </x:c>
      <x:c r="L120" s="63" t="str">
        <x:v>Soft</x:v>
      </x:c>
      <x:c r="M120" s="42" t="str">
        <x:v>Build or apply an evaluation set, interpret results, and make a justified release or model decision</x:v>
      </x:c>
      <x:c r="N120" s="42" t="str">
        <x:v>Procedural; Normative; Institutional</x:v>
      </x:c>
      <x:c r="O120" s="42" t="str">
        <x:v>Annotation-design and inter-rater agreement exercise</x:v>
      </x:c>
      <x:c r="P120" s="43" t="str">
        <x:v>https://docs.aws.amazon.com/aws-certification/latest/ai-professional-01/ai-professional-01-domain5.html</x:v>
      </x:c>
    </x:row>
    <x:row r="121" ht="42" customHeight="1">
      <x:c r="A121" s="57" t="n">
        <x:v>116</x:v>
      </x:c>
      <x:c r="B121" s="42" t="str">
        <x:v>LLM-as-a-judge evaluation</x:v>
      </x:c>
      <x:c r="C121" s="63" t="n">
        <x:v>9</x:v>
      </x:c>
      <x:c r="D121" s="42" t="str">
        <x:v>Layer 9 — Monitoring, evaluation, and troubleshooting</x:v>
      </x:c>
      <x:c r="E121" s="42" t="str">
        <x:v>Official skill-derived</x:v>
      </x:c>
      <x:c r="F121" s="42" t="str">
        <x:v>5.1.5</x:v>
      </x:c>
      <x:c r="G121" s="42" t="str">
        <x:v>5.1 Implement evaluation systems for GenAI</x:v>
      </x:c>
      <x:c r="H121" s="42" t="str">
        <x:v>10, 113, 115</x:v>
      </x:c>
      <x:c r="I121" s="42" t="str"/>
      <x:c r="J121" s="63" t="str">
        <x:f>IF(AND(H121="",I121=""),"None",IF(I121="","Hard","Mixed"))</x:f>
        <x:v>Hard</x:v>
      </x:c>
      <x:c r="K121" s="63" t="str">
        <x:v>Level 3 — Apply/Implement</x:v>
      </x:c>
      <x:c r="L121" s="63" t="str">
        <x:v>Soft</x:v>
      </x:c>
      <x:c r="M121" s="42" t="str">
        <x:v>Build or apply an evaluation set, interpret results, and make a justified release or model decision</x:v>
      </x:c>
      <x:c r="N121" s="42" t="str">
        <x:v>Conceptual; Procedural; Conditional; Normative</x:v>
      </x:c>
      <x:c r="O121" s="42" t="str">
        <x:v>Calibrate LLM-as-judge results against human evaluation</x:v>
      </x:c>
      <x:c r="P121" s="43" t="str">
        <x:v>https://docs.aws.amazon.com/aws-certification/latest/ai-professional-01/ai-professional-01-domain5.html</x:v>
      </x:c>
    </x:row>
    <x:row r="122" ht="42" customHeight="1">
      <x:c r="A122" s="57" t="n">
        <x:v>117</x:v>
      </x:c>
      <x:c r="B122" s="42" t="str">
        <x:v>RAG evaluation</x:v>
      </x:c>
      <x:c r="C122" s="63" t="n">
        <x:v>9</x:v>
      </x:c>
      <x:c r="D122" s="42" t="str">
        <x:v>Layer 9 — Monitoring, evaluation, and troubleshooting</x:v>
      </x:c>
      <x:c r="E122" s="42" t="str">
        <x:v>Official skill-derived</x:v>
      </x:c>
      <x:c r="F122" s="42" t="str">
        <x:v>5.1.5; 5.1.6</x:v>
      </x:c>
      <x:c r="G122" s="42" t="str">
        <x:v>5.1 Implement evaluation systems for GenAI</x:v>
      </x:c>
      <x:c r="H122" s="42" t="str">
        <x:v>26, 113</x:v>
      </x:c>
      <x:c r="I122" s="42" t="str"/>
      <x:c r="J122" s="63" t="str">
        <x:f>IF(AND(H122="",I122=""),"None",IF(I122="","Hard","Mixed"))</x:f>
        <x:v>Hard</x:v>
      </x:c>
      <x:c r="K122" s="63" t="str">
        <x:v>Level 4 — Select/Diagnose</x:v>
      </x:c>
      <x:c r="L122" s="63" t="str">
        <x:v>Hard</x:v>
      </x:c>
      <x:c r="M122" s="42" t="str">
        <x:v>Build or apply an evaluation set, interpret results, and make a justified release or model decision</x:v>
      </x:c>
      <x:c r="N122" s="42" t="str">
        <x:v>Conceptual; Procedural; Diagnostic/Causal</x:v>
      </x:c>
      <x:c r="O122" s="42" t="str">
        <x:v>Build a RAG evaluation harness</x:v>
      </x:c>
      <x:c r="P122" s="43" t="str">
        <x:v>https://docs.aws.amazon.com/aws-certification/latest/ai-professional-01/ai-professional-01-domain5.html</x:v>
      </x:c>
    </x:row>
    <x:row r="123" ht="42" customHeight="1">
      <x:c r="A123" s="57" t="n">
        <x:v>118</x:v>
      </x:c>
      <x:c r="B123" s="42" t="str">
        <x:v>Agent evaluation</x:v>
      </x:c>
      <x:c r="C123" s="63" t="n">
        <x:v>9</x:v>
      </x:c>
      <x:c r="D123" s="42" t="str">
        <x:v>Layer 9 — Monitoring, evaluation, and troubleshooting</x:v>
      </x:c>
      <x:c r="E123" s="42" t="str">
        <x:v>Official skill-derived</x:v>
      </x:c>
      <x:c r="F123" s="42" t="str">
        <x:v>5.1.7</x:v>
      </x:c>
      <x:c r="G123" s="42" t="str">
        <x:v>5.1 Implement evaluation systems for GenAI</x:v>
      </x:c>
      <x:c r="H123" s="42" t="str">
        <x:v>73, 113</x:v>
      </x:c>
      <x:c r="I123" s="42" t="str"/>
      <x:c r="J123" s="63" t="str">
        <x:f>IF(AND(H123="",I123=""),"None",IF(I123="","Hard","Mixed"))</x:f>
        <x:v>Hard</x:v>
      </x:c>
      <x:c r="K123" s="63" t="str">
        <x:v>Level 4 — Select/Diagnose</x:v>
      </x:c>
      <x:c r="L123" s="63" t="str">
        <x:v>Soft</x:v>
      </x:c>
      <x:c r="M123" s="42" t="str">
        <x:v>Build or apply an evaluation set, interpret results, and make a justified release or model decision</x:v>
      </x:c>
      <x:c r="N123" s="42" t="str">
        <x:v>Conceptual; Procedural; Diagnostic/Causal</x:v>
      </x:c>
      <x:c r="O123" s="42" t="str">
        <x:v>Agent-trajectory evaluation and failure analysis</x:v>
      </x:c>
      <x:c r="P123" s="43" t="str">
        <x:v>https://docs.aws.amazon.com/aws-certification/latest/ai-professional-01/ai-professional-01-domain5.html</x:v>
      </x:c>
    </x:row>
    <x:row r="124" ht="42" customHeight="1">
      <x:c r="A124" s="57" t="n">
        <x:v>119</x:v>
      </x:c>
      <x:c r="B124" s="42" t="str">
        <x:v>A/B testing, canary testing, and multi-model comparison</x:v>
      </x:c>
      <x:c r="C124" s="63" t="n">
        <x:v>9</x:v>
      </x:c>
      <x:c r="D124" s="42" t="str">
        <x:v>Layer 9 — Monitoring, evaluation, and troubleshooting</x:v>
      </x:c>
      <x:c r="E124" s="42" t="str">
        <x:v>Official skill-derived</x:v>
      </x:c>
      <x:c r="F124" s="42" t="str">
        <x:v>5.1.2</x:v>
      </x:c>
      <x:c r="G124" s="42" t="str">
        <x:v>5.1 Implement evaluation systems for GenAI</x:v>
      </x:c>
      <x:c r="H124" s="42" t="str">
        <x:v>39, 40, 105, 113, 114</x:v>
      </x:c>
      <x:c r="I124" s="42" t="str"/>
      <x:c r="J124" s="63" t="str">
        <x:f>IF(AND(H124="",I124=""),"None",IF(I124="","Hard","Mixed"))</x:f>
        <x:v>Hard</x:v>
      </x:c>
      <x:c r="K124" s="63" t="str">
        <x:v>Level 4 — Select/Diagnose</x:v>
      </x:c>
      <x:c r="L124" s="63" t="str">
        <x:v>Soft</x:v>
      </x:c>
      <x:c r="M124" s="42" t="str">
        <x:v>Complete an independent hands-on task and explain the key implementation decisions</x:v>
      </x:c>
      <x:c r="N124" s="42" t="str">
        <x:v>Procedural; Causal; Conditional; Strategic</x:v>
      </x:c>
      <x:c r="O124" s="42" t="str">
        <x:v>A/B and canary testing experiment</x:v>
      </x:c>
      <x:c r="P124" s="43" t="str">
        <x:v>https://docs.aws.amazon.com/aws-certification/latest/ai-professional-01/ai-professional-01-domain5.html</x:v>
      </x:c>
    </x:row>
    <x:row r="125" ht="42" customHeight="1">
      <x:c r="A125" s="57" t="n">
        <x:v>120</x:v>
      </x:c>
      <x:c r="B125" s="42" t="str">
        <x:v>Continuous evaluation and regression testing</x:v>
      </x:c>
      <x:c r="C125" s="63" t="n">
        <x:v>9</x:v>
      </x:c>
      <x:c r="D125" s="42" t="str">
        <x:v>Layer 9 — Monitoring, evaluation, and troubleshooting</x:v>
      </x:c>
      <x:c r="E125" s="42" t="str">
        <x:v>Official skill-derived</x:v>
      </x:c>
      <x:c r="F125" s="42" t="str">
        <x:v>5.1.4</x:v>
      </x:c>
      <x:c r="G125" s="42" t="str">
        <x:v>5.1 Implement evaluation systems for GenAI</x:v>
      </x:c>
      <x:c r="H125" s="42" t="str">
        <x:v>30, 59, 109, 113</x:v>
      </x:c>
      <x:c r="I125" s="42" t="str"/>
      <x:c r="J125" s="63" t="str">
        <x:f>IF(AND(H125="",I125=""),"None",IF(I125="","Hard","Mixed"))</x:f>
        <x:v>Hard</x:v>
      </x:c>
      <x:c r="K125" s="63" t="str">
        <x:v>Level 3 — Apply/Implement</x:v>
      </x:c>
      <x:c r="L125" s="63" t="str">
        <x:v>Hard</x:v>
      </x:c>
      <x:c r="M125" s="42" t="str">
        <x:v>Build or apply an evaluation set, interpret results, and make a justified release or model decision</x:v>
      </x:c>
      <x:c r="N125" s="42" t="str">
        <x:v>Procedural; Causal; Strategic; Embedded</x:v>
      </x:c>
      <x:c r="O125" s="42" t="str">
        <x:v>Continuous-evaluation pipeline laboratory</x:v>
      </x:c>
      <x:c r="P125" s="43" t="str">
        <x:v>https://docs.aws.amazon.com/aws-certification/latest/ai-professional-01/ai-professional-01-domain5.html</x:v>
      </x:c>
    </x:row>
    <x:row r="126" ht="42" customHeight="1">
      <x:c r="A126" s="57" t="n">
        <x:v>121</x:v>
      </x:c>
      <x:c r="B126" s="42" t="str">
        <x:v>Synthetic-user and deployment-validation workflows</x:v>
      </x:c>
      <x:c r="C126" s="63" t="n">
        <x:v>9</x:v>
      </x:c>
      <x:c r="D126" s="42" t="str">
        <x:v>Layer 9 — Monitoring, evaluation, and troubleshooting</x:v>
      </x:c>
      <x:c r="E126" s="42" t="str">
        <x:v>Official skill-derived</x:v>
      </x:c>
      <x:c r="F126" s="42" t="str">
        <x:v>5.1.9</x:v>
      </x:c>
      <x:c r="G126" s="42" t="str">
        <x:v>5.1 Implement evaluation systems for GenAI</x:v>
      </x:c>
      <x:c r="H126" s="42" t="str">
        <x:v>59, 113, 119, 120</x:v>
      </x:c>
      <x:c r="I126" s="42" t="str"/>
      <x:c r="J126" s="63" t="str">
        <x:f>IF(AND(H126="",I126=""),"None",IF(I126="","Hard","Mixed"))</x:f>
        <x:v>Hard</x:v>
      </x:c>
      <x:c r="K126" s="63" t="str">
        <x:v>Level 3 — Apply/Implement</x:v>
      </x:c>
      <x:c r="L126" s="63" t="str">
        <x:v>Soft</x:v>
      </x:c>
      <x:c r="M126" s="42" t="str">
        <x:v>Perform an independent deployment or pipeline task and verify rollback/recovery behavior</x:v>
      </x:c>
      <x:c r="N126" s="42" t="str">
        <x:v>Procedural; Causal; Strategic</x:v>
      </x:c>
      <x:c r="O126" s="42" t="str">
        <x:v>Synthetic-user workflow and deployment-validation exercise</x:v>
      </x:c>
      <x:c r="P126" s="43" t="str">
        <x:v>https://docs.aws.amazon.com/aws-certification/latest/ai-professional-01/ai-professional-01-domain5.html</x:v>
      </x:c>
    </x:row>
    <x:row r="127" ht="42" customHeight="1">
      <x:c r="A127" s="57" t="n">
        <x:v>122</x:v>
      </x:c>
      <x:c r="B127" s="42" t="str">
        <x:v>Context-window, truncation, and content-handling troubleshooting</x:v>
      </x:c>
      <x:c r="C127" s="63" t="n">
        <x:v>9</x:v>
      </x:c>
      <x:c r="D127" s="42" t="str">
        <x:v>Layer 9 — Monitoring, evaluation, and troubleshooting</x:v>
      </x:c>
      <x:c r="E127" s="42" t="str">
        <x:v>Official skill-derived</x:v>
      </x:c>
      <x:c r="F127" s="42" t="str">
        <x:v>5.2.1</x:v>
      </x:c>
      <x:c r="G127" s="42" t="str">
        <x:v>5.2 Troubleshoot GenAI applications</x:v>
      </x:c>
      <x:c r="H127" s="42" t="str">
        <x:v>2, 15, 20, 38, 107</x:v>
      </x:c>
      <x:c r="I127" s="42" t="str"/>
      <x:c r="J127" s="63" t="str">
        <x:f>IF(AND(H127="",I127=""),"None",IF(I127="","Hard","Mixed"))</x:f>
        <x:v>Hard</x:v>
      </x:c>
      <x:c r="K127" s="63" t="str">
        <x:v>Level 4 — Select/Diagnose</x:v>
      </x:c>
      <x:c r="L127" s="63" t="str">
        <x:v>Hard</x:v>
      </x:c>
      <x:c r="M127" s="42" t="str">
        <x:v>Broken-system exercise: isolate the first failing stage, correct it, and add a regression check</x:v>
      </x:c>
      <x:c r="N127" s="42" t="str">
        <x:v>Diagnostic/Causal; Procedural; Tacit</x:v>
      </x:c>
      <x:c r="O127" s="42" t="str">
        <x:v>Context-overflow and truncation broken-system lab</x:v>
      </x:c>
      <x:c r="P127" s="43" t="str">
        <x:v>https://docs.aws.amazon.com/aws-certification/latest/ai-professional-01/ai-professional-01-domain5.html</x:v>
      </x:c>
    </x:row>
    <x:row r="128" ht="42" customHeight="1">
      <x:c r="A128" s="57" t="n">
        <x:v>123</x:v>
      </x:c>
      <x:c r="B128" s="42" t="str">
        <x:v>FM API and integration troubleshooting</x:v>
      </x:c>
      <x:c r="C128" s="63" t="n">
        <x:v>9</x:v>
      </x:c>
      <x:c r="D128" s="42" t="str">
        <x:v>Layer 9 — Monitoring, evaluation, and troubleshooting</x:v>
      </x:c>
      <x:c r="E128" s="42" t="str">
        <x:v>Official skill-derived</x:v>
      </x:c>
      <x:c r="F128" s="42" t="str">
        <x:v>5.2.2; 2.5.6</x:v>
      </x:c>
      <x:c r="G128" s="42" t="str">
        <x:v>5.2 Troubleshoot GenAI applications; 2.5 Implement application integration patterns and development tools</x:v>
      </x:c>
      <x:c r="H128" s="42" t="str">
        <x:v>32, 33, 34, 35, 36, 37, 38, 107</x:v>
      </x:c>
      <x:c r="I128" s="42" t="str"/>
      <x:c r="J128" s="63" t="str">
        <x:f>IF(AND(H128="",I128=""),"None",IF(I128="","Hard","Mixed"))</x:f>
        <x:v>Hard</x:v>
      </x:c>
      <x:c r="K128" s="63" t="str">
        <x:v>Level 4 — Select/Diagnose</x:v>
      </x:c>
      <x:c r="L128" s="63" t="str">
        <x:v>Hard</x:v>
      </x:c>
      <x:c r="M128" s="42" t="str">
        <x:v>Broken-system exercise: isolate the first failing stage, correct it, and add a regression check</x:v>
      </x:c>
      <x:c r="N128" s="42" t="str">
        <x:v>Diagnostic/Causal; Procedural; Embedded</x:v>
      </x:c>
      <x:c r="O128" s="42" t="str">
        <x:v>FM API failure-triage laboratory</x:v>
      </x:c>
      <x:c r="P128" s="43" t="str">
        <x:v>https://docs.aws.amazon.com/aws-certification/latest/ai-professional-01/ai-professional-01.html</x:v>
      </x:c>
    </x:row>
    <x:row r="129" ht="42" customHeight="1">
      <x:c r="A129" s="57" t="n">
        <x:v>124</x:v>
      </x:c>
      <x:c r="B129" s="42" t="str">
        <x:v>Prompt troubleshooting and maintenance</x:v>
      </x:c>
      <x:c r="C129" s="63" t="n">
        <x:v>9</x:v>
      </x:c>
      <x:c r="D129" s="42" t="str">
        <x:v>Layer 9 — Monitoring, evaluation, and troubleshooting</x:v>
      </x:c>
      <x:c r="E129" s="42" t="str">
        <x:v>Official skill-derived</x:v>
      </x:c>
      <x:c r="F129" s="42" t="str">
        <x:v>5.2.3; 5.2.5</x:v>
      </x:c>
      <x:c r="G129" s="42" t="str">
        <x:v>5.2 Troubleshoot GenAI applications</x:v>
      </x:c>
      <x:c r="H129" s="42" t="str">
        <x:v>28, 29, 30, 31, 109, 120</x:v>
      </x:c>
      <x:c r="I129" s="42" t="str"/>
      <x:c r="J129" s="63" t="str">
        <x:f>IF(AND(H129="",I129=""),"None",IF(I129="","Hard","Mixed"))</x:f>
        <x:v>Hard</x:v>
      </x:c>
      <x:c r="K129" s="63" t="str">
        <x:v>Level 4 — Select/Diagnose</x:v>
      </x:c>
      <x:c r="L129" s="63" t="str">
        <x:v>Hard</x:v>
      </x:c>
      <x:c r="M129" s="42" t="str">
        <x:v>Broken-system exercise: isolate the first failing stage, correct it, and add a regression check</x:v>
      </x:c>
      <x:c r="N129" s="42" t="str">
        <x:v>Diagnostic/Causal; Procedural; Tacit</x:v>
      </x:c>
      <x:c r="O129" s="42" t="str">
        <x:v>Prompt bisection and regression laboratory</x:v>
      </x:c>
      <x:c r="P129" s="43" t="str">
        <x:v>https://docs.aws.amazon.com/aws-certification/latest/ai-professional-01/ai-professional-01-domain5.html</x:v>
      </x:c>
    </x:row>
    <x:row r="130" ht="42" customHeight="1">
      <x:c r="A130" s="57" t="n">
        <x:v>125</x:v>
      </x:c>
      <x:c r="B130" s="42" t="str">
        <x:v>Embedding, chunking, indexing, and retrieval troubleshooting</x:v>
      </x:c>
      <x:c r="C130" s="63" t="n">
        <x:v>9</x:v>
      </x:c>
      <x:c r="D130" s="42" t="str">
        <x:v>Layer 9 — Monitoring, evaluation, and troubleshooting</x:v>
      </x:c>
      <x:c r="E130" s="42" t="str">
        <x:v>Official skill-derived</x:v>
      </x:c>
      <x:c r="F130" s="42" t="str">
        <x:v>5.2.4</x:v>
      </x:c>
      <x:c r="G130" s="42" t="str">
        <x:v>5.2 Troubleshoot GenAI applications</x:v>
      </x:c>
      <x:c r="H130" s="42" t="str">
        <x:v>26, 110, 117</x:v>
      </x:c>
      <x:c r="I130" s="42" t="str"/>
      <x:c r="J130" s="63" t="str">
        <x:f>IF(AND(H130="",I130=""),"None",IF(I130="","Hard","Mixed"))</x:f>
        <x:v>Hard</x:v>
      </x:c>
      <x:c r="K130" s="63" t="str">
        <x:v>Level 4 — Select/Diagnose</x:v>
      </x:c>
      <x:c r="L130" s="63" t="str">
        <x:v>Hard</x:v>
      </x:c>
      <x:c r="M130" s="42" t="str">
        <x:v>Broken-system exercise: isolate the first failing stage, correct it, and add a regression check</x:v>
      </x:c>
      <x:c r="N130" s="42" t="str">
        <x:v>Diagnostic/Causal; Procedural; Tacit; Embedded</x:v>
      </x:c>
      <x:c r="O130" s="42" t="str">
        <x:v>Broken-RAG stage-isolation laboratory</x:v>
      </x:c>
      <x:c r="P130" s="43" t="str">
        <x:v>https://docs.aws.amazon.com/aws-certification/latest/ai-professional-01/ai-professional-01-domain5.html</x:v>
      </x:c>
    </x:row>
    <x:row r="131" ht="42" customHeight="1">
      <x:c r="A131" s="57" t="n">
        <x:v>126</x:v>
      </x:c>
      <x:c r="B131" s="42" t="str">
        <x:v>Agent and tool-use troubleshooting</x:v>
      </x:c>
      <x:c r="C131" s="63" t="n">
        <x:v>9</x:v>
      </x:c>
      <x:c r="D131" s="42" t="str">
        <x:v>Layer 9 — Monitoring, evaluation, and troubleshooting</x:v>
      </x:c>
      <x:c r="E131" s="42" t="str">
        <x:v>Official skill-derived</x:v>
      </x:c>
      <x:c r="F131" s="42" t="str">
        <x:v>5.1.7; 4.3.4; 2.5.6</x:v>
      </x:c>
      <x:c r="G131" s="42" t="str">
        <x:v>5.1 Implement evaluation systems for GenAI; 4.3 Implement monitoring systems for GenAI applications; 2.5 Implement application integration patterns and development tools</x:v>
      </x:c>
      <x:c r="H131" s="42" t="str">
        <x:v>64, 67, 68, 71, 72, 73, 111, 118</x:v>
      </x:c>
      <x:c r="I131" s="42" t="str"/>
      <x:c r="J131" s="63" t="str">
        <x:f>IF(AND(H131="",I131=""),"None",IF(I131="","Hard","Mixed"))</x:f>
        <x:v>Hard</x:v>
      </x:c>
      <x:c r="K131" s="63" t="str">
        <x:v>Level 4 — Select/Diagnose</x:v>
      </x:c>
      <x:c r="L131" s="63" t="str">
        <x:v>Hard</x:v>
      </x:c>
      <x:c r="M131" s="42" t="str">
        <x:v>Broken-system exercise: isolate the first failing stage, correct it, and add a regression check</x:v>
      </x:c>
      <x:c r="N131" s="42" t="str">
        <x:v>Diagnostic/Causal; Procedural; Tacit</x:v>
      </x:c>
      <x:c r="O131" s="42" t="str">
        <x:v>Agent and tool-use incident laboratory</x:v>
      </x:c>
      <x:c r="P131" s="43" t="str">
        <x:v>https://docs.aws.amazon.com/aws-certification/latest/ai-professional-01/ai-professional-01.html</x:v>
      </x:c>
    </x:row>
    <x:row r="132" ht="42" customHeight="1">
      <x:c r="A132" s="57" t="n">
        <x:v>127</x:v>
      </x:c>
      <x:c r="B132" s="42" t="str">
        <x:v>Cost, latency, throughput, and scaling troubleshooting</x:v>
      </x:c>
      <x:c r="C132" s="63" t="n">
        <x:v>9</x:v>
      </x:c>
      <x:c r="D132" s="42" t="str">
        <x:v>Layer 9 — Monitoring, evaluation, and troubleshooting</x:v>
      </x:c>
      <x:c r="E132" s="42" t="str">
        <x:v>Official skill-derived</x:v>
      </x:c>
      <x:c r="F132" s="42" t="str">
        <x:v>4.2.1; 4.2.3; 4.2.5; 4.2.6; 4.3.6</x:v>
      </x:c>
      <x:c r="G132" s="42" t="str">
        <x:v>4.2 Optimize application performance; 4.3 Implement monitoring systems for GenAI applications</x:v>
      </x:c>
      <x:c r="H132" s="42" t="str">
        <x:v>96, 97, 98, 99, 100, 101, 102, 103, 104, 105, 106, 108</x:v>
      </x:c>
      <x:c r="I132" s="42" t="str"/>
      <x:c r="J132" s="63" t="str">
        <x:f>IF(AND(H132="",I132=""),"None",IF(I132="","Hard","Mixed"))</x:f>
        <x:v>Hard</x:v>
      </x:c>
      <x:c r="K132" s="63" t="str">
        <x:v>Level 4 — Select/Diagnose</x:v>
      </x:c>
      <x:c r="L132" s="63" t="str">
        <x:v>Hard</x:v>
      </x:c>
      <x:c r="M132" s="42" t="str">
        <x:v>Broken-system exercise: isolate the first failing stage, correct it, and add a regression check</x:v>
      </x:c>
      <x:c r="N132" s="42" t="str">
        <x:v>Diagnostic/Causal; Procedural; Strategic</x:v>
      </x:c>
      <x:c r="O132" s="42" t="str">
        <x:v>Cost, latency, and scaling incident analysis</x:v>
      </x:c>
      <x:c r="P132" s="43" t="str">
        <x:v>https://docs.aws.amazon.com/aws-certification/latest/ai-professional-01/ai-professional-01-domain4.html</x:v>
      </x:c>
    </x:row>
    <x:row r="133" ht="42" customHeight="1">
      <x:c r="A133" s="57" t="n">
        <x:v>128</x:v>
      </x:c>
      <x:c r="B133" s="42" t="str">
        <x:v>End-to-end incident analysis and root-cause diagnosis</x:v>
      </x:c>
      <x:c r="C133" s="63" t="n">
        <x:v>9</x:v>
      </x:c>
      <x:c r="D133" s="42" t="str">
        <x:v>Layer 9 — Monitoring, evaluation, and troubleshooting</x:v>
      </x:c>
      <x:c r="E133" s="42" t="str">
        <x:v>Official skill-derived</x:v>
      </x:c>
      <x:c r="F133" s="42" t="str">
        <x:v>4.3.6; 2.5.6; 5.2.1; 5.2.2; 5.2.3; 5.2.4; 5.2.5</x:v>
      </x:c>
      <x:c r="G133" s="42" t="str">
        <x:v>4.3 Implement monitoring systems for GenAI applications; 2.5 Implement application integration patterns and development tools; 5.2 Troubleshoot GenAI applications</x:v>
      </x:c>
      <x:c r="H133" s="42" t="str">
        <x:v>107, 112, 122, 123, 124, 125, 126, 127</x:v>
      </x:c>
      <x:c r="I133" s="42" t="str"/>
      <x:c r="J133" s="63" t="str">
        <x:f>IF(AND(H133="",I133=""),"None",IF(I133="","Hard","Mixed"))</x:f>
        <x:v>Hard</x:v>
      </x:c>
      <x:c r="K133" s="63" t="str">
        <x:v>Level 4 — Select/Diagnose</x:v>
      </x:c>
      <x:c r="L133" s="63" t="str">
        <x:v>Hard</x:v>
      </x:c>
      <x:c r="M133" s="42" t="str">
        <x:v>Broken-system exercise: isolate the first failing stage, correct it, and add a regression check</x:v>
      </x:c>
      <x:c r="N133" s="42" t="str">
        <x:v>Diagnostic/Causal; Strategic; Tacit</x:v>
      </x:c>
      <x:c r="O133" s="42" t="str">
        <x:v>Full end-to-end incident postmortem</x:v>
      </x:c>
      <x:c r="P133" s="43" t="str">
        <x:v>https://docs.aws.amazon.com/aws-certification/latest/ai-professional-01/ai-professional-01.html</x:v>
      </x:c>
    </x:row>
    <x:row r="134" ht="42" customHeight="1">
      <x:c r="A134" s="57" t="n">
        <x:v>129</x:v>
      </x:c>
      <x:c r="B134" s="42" t="str">
        <x:v>End-to-end GenAI architecture design</x:v>
      </x:c>
      <x:c r="C134" s="63" t="n">
        <x:v>10</x:v>
      </x:c>
      <x:c r="D134" s="42" t="str">
        <x:v>Final integration</x:v>
      </x:c>
      <x:c r="E134" s="42" t="str">
        <x:v>Cross-domain synthesis</x:v>
      </x:c>
      <x:c r="F134" s="42" t="str">
        <x:v>1.1.1; 1.1.3; 2.3.1; 2.3.2; 2.3.3; 2.3.4; 2.3.5</x:v>
      </x:c>
      <x:c r="G134" s="42" t="str">
        <x:v>1.1 Analyze requirements and design GenAI solutions; 2.3 Design and implement enterprise integration architectures</x:v>
      </x:c>
      <x:c r="H134" s="42" t="str">
        <x:v>6, 20, 31, 48, 56, 71, 80, 95, 106, 112, 128</x:v>
      </x:c>
      <x:c r="I134" s="42" t="str">
        <x:v>46, 47, 57, 60, 73, 93, 105</x:v>
      </x:c>
      <x:c r="J134" s="63" t="str">
        <x:f>IF(AND(H134="",I134=""),"None",IF(I134="","Hard","Mixed"))</x:f>
        <x:v>Mixed</x:v>
      </x:c>
      <x:c r="K134" s="63" t="str">
        <x:v>Level 5 — Design/Defend</x:v>
      </x:c>
      <x:c r="L134" s="63" t="str">
        <x:v>Capstone</x:v>
      </x:c>
      <x:c r="M134" s="42" t="str">
        <x:v>Design a solution for a novel case and defend component choices, constraints, and residual risks</x:v>
      </x:c>
      <x:c r="N134" s="42" t="str">
        <x:v>Conceptual; Strategic; Tacit</x:v>
      </x:c>
      <x:c r="O134" s="42" t="str">
        <x:v>End-to-end architecture capstone and design review</x:v>
      </x:c>
      <x:c r="P134" s="43" t="str">
        <x:v>https://docs.aws.amazon.com/aws-certification/latest/ai-professional-01/ai-professional-01.html</x:v>
      </x:c>
    </x:row>
    <x:row r="135" ht="42" customHeight="1">
      <x:c r="A135" s="57" t="n">
        <x:v>130</x:v>
      </x:c>
      <x:c r="B135" s="42" t="str">
        <x:v>Business, technical, security, cost, and governance trade-off analysis</x:v>
      </x:c>
      <x:c r="C135" s="63" t="n">
        <x:v>10</x:v>
      </x:c>
      <x:c r="D135" s="42" t="str">
        <x:v>Final integration</x:v>
      </x:c>
      <x:c r="E135" s="42" t="str">
        <x:v>Cross-domain synthesis</x:v>
      </x:c>
      <x:c r="F135" s="42" t="str">
        <x:v>1.1.1; 1.2.1; 2.2.3; 3.3.3; 4.1.2; 4.2.1</x:v>
      </x:c>
      <x:c r="G135" s="42" t="str">
        <x:v>1.1 Analyze requirements and design GenAI solutions; 1.2 Select and configure FMs; 2.2 Implement model deployment strategies; 3.3 Implement AI governance and compliance mechanisms; 4.1 Implement cost optimization and resource efficiency strategies; 4.2 Optimize application performance</x:v>
      </x:c>
      <x:c r="H135" s="42" t="str">
        <x:v>40, 55, 95, 98, 103, 129</x:v>
      </x:c>
      <x:c r="I135" s="42" t="str">
        <x:v>72, 92, 112</x:v>
      </x:c>
      <x:c r="J135" s="63" t="str">
        <x:f>IF(AND(H135="",I135=""),"None",IF(I135="","Hard","Mixed"))</x:f>
        <x:v>Mixed</x:v>
      </x:c>
      <x:c r="K135" s="63" t="str">
        <x:v>Level 5 — Design/Defend</x:v>
      </x:c>
      <x:c r="L135" s="63" t="str">
        <x:v>Capstone</x:v>
      </x:c>
      <x:c r="M135" s="42" t="str">
        <x:v>Map requirements to controls, owners, evidence, and escalation; justify unresolved risks</x:v>
      </x:c>
      <x:c r="N135" s="42" t="str">
        <x:v>Conditional; Strategic; Normative; Tacit</x:v>
      </x:c>
      <x:c r="O135" s="42" t="str">
        <x:v>Cross-domain trade-off case workshop</x:v>
      </x:c>
      <x:c r="P135" s="43" t="str">
        <x:v>https://docs.aws.amazon.com/aws-certification/latest/ai-professional-01/ai-professional-01.html</x:v>
      </x:c>
    </x:row>
    <x:row r="136" ht="42" customHeight="1">
      <x:c r="A136" s="57" t="n">
        <x:v>131</x:v>
      </x:c>
      <x:c r="B136" s="42" t="str">
        <x:v>Architecture decision records and alternative evaluation</x:v>
      </x:c>
      <x:c r="C136" s="63" t="n">
        <x:v>10</x:v>
      </x:c>
      <x:c r="D136" s="42" t="str">
        <x:v>Final integration</x:v>
      </x:c>
      <x:c r="E136" s="42" t="str">
        <x:v>Cross-domain synthesis</x:v>
      </x:c>
      <x:c r="F136" s="42" t="str">
        <x:v>1.1.1; 1.1.3</x:v>
      </x:c>
      <x:c r="G136" s="42" t="str">
        <x:v>1.1 Analyze requirements and design GenAI solutions</x:v>
      </x:c>
      <x:c r="H136" s="42" t="str">
        <x:v>6, 129, 130</x:v>
      </x:c>
      <x:c r="I136" s="42" t="str">
        <x:v>89</x:v>
      </x:c>
      <x:c r="J136" s="63" t="str">
        <x:f>IF(AND(H136="",I136=""),"None",IF(I136="","Hard","Mixed"))</x:f>
        <x:v>Mixed</x:v>
      </x:c>
      <x:c r="K136" s="63" t="str">
        <x:v>Level 5 — Design/Defend</x:v>
      </x:c>
      <x:c r="L136" s="63" t="str">
        <x:v>Capstone</x:v>
      </x:c>
      <x:c r="M136" s="42" t="str">
        <x:v>Write an ADR for a new scenario, including alternatives, trade-offs, and consequences</x:v>
      </x:c>
      <x:c r="N136" s="42" t="str">
        <x:v>Strategic; Metacognitive; Explicit</x:v>
      </x:c>
      <x:c r="O136" s="42" t="str">
        <x:v>Write and peer-review architecture decision records</x:v>
      </x:c>
      <x:c r="P136" s="43" t="str">
        <x:v>https://docs.aws.amazon.com/aws-certification/latest/ai-professional-01/ai-professional-01-domain1.html</x:v>
      </x:c>
    </x:row>
    <x:row r="137" ht="42" customHeight="1">
      <x:c r="A137" s="57" t="n">
        <x:v>132</x:v>
      </x:c>
      <x:c r="B137" s="42" t="str">
        <x:v>Production-readiness review</x:v>
      </x:c>
      <x:c r="C137" s="63" t="n">
        <x:v>10</x:v>
      </x:c>
      <x:c r="D137" s="42" t="str">
        <x:v>Final integration</x:v>
      </x:c>
      <x:c r="E137" s="42" t="str">
        <x:v>Cross-domain synthesis</x:v>
      </x:c>
      <x:c r="F137" s="42" t="str">
        <x:v>1.1.2; 1.1.3; 2.3.5; 3.3.4; 4.3.1; 4.3.2; 4.3.3; 4.3.4; 4.3.5; 4.3.6; 5.1.9</x:v>
      </x:c>
      <x:c r="G137" s="42" t="str">
        <x:v>1.1 Analyze requirements and design GenAI solutions; 2.3 Design and implement enterprise integration architectures; 3.3 Implement AI governance and compliance mechanisms; 4.3 Implement monitoring systems for GenAI applications; 5.1 Implement evaluation systems for GenAI</x:v>
      </x:c>
      <x:c r="H137" s="42" t="str">
        <x:v>59, 80, 95, 106, 112, 120, 128, 129</x:v>
      </x:c>
      <x:c r="I137" s="42" t="str">
        <x:v>121</x:v>
      </x:c>
      <x:c r="J137" s="63" t="str">
        <x:f>IF(AND(H137="",I137=""),"None",IF(I137="","Hard","Mixed"))</x:f>
        <x:v>Mixed</x:v>
      </x:c>
      <x:c r="K137" s="63" t="str">
        <x:v>Level 5 — Design/Defend</x:v>
      </x:c>
      <x:c r="L137" s="63" t="str">
        <x:v>Capstone</x:v>
      </x:c>
      <x:c r="M137" s="42" t="str">
        <x:v>Run a production-readiness review and defend go/no-go findings with evidence</x:v>
      </x:c>
      <x:c r="N137" s="42" t="str">
        <x:v>Strategic; Normative; Institutional; Tacit</x:v>
      </x:c>
      <x:c r="O137" s="42" t="str">
        <x:v>Production-readiness review simulation</x:v>
      </x:c>
      <x:c r="P137" s="43" t="str">
        <x:v>https://docs.aws.amazon.com/aws-certification/latest/ai-professional-01/ai-professional-01.html</x:v>
      </x:c>
    </x:row>
    <x:row r="138" ht="42" customHeight="1">
      <x:c r="A138" s="58" t="n">
        <x:v>133</x:v>
      </x:c>
      <x:c r="B138" s="45" t="str">
        <x:v>Mixed-domain AIP-C01 scenario practice</x:v>
      </x:c>
      <x:c r="C138" s="64" t="n">
        <x:v>10</x:v>
      </x:c>
      <x:c r="D138" s="45" t="str">
        <x:v>Final integration</x:v>
      </x:c>
      <x:c r="E138" s="45" t="str">
        <x:v>Cross-domain synthesis</x:v>
      </x:c>
      <x:c r="F138" s="45" t="str">
        <x:v>Cross-domain synthesis; all tasks</x:v>
      </x:c>
      <x:c r="G138" s="45" t="str">
        <x:v>Cross-domain</x:v>
      </x:c>
      <x:c r="H138" s="45" t="str">
        <x:v>130, 131, 132</x:v>
      </x:c>
      <x:c r="I138" s="45" t="str">
        <x:v>128</x:v>
      </x:c>
      <x:c r="J138" s="64" t="str">
        <x:f>IF(AND(H138="",I138=""),"None",IF(I138="","Hard","Mixed"))</x:f>
        <x:v>Mixed</x:v>
      </x:c>
      <x:c r="K138" s="64" t="str">
        <x:v>Level 4 — Select/Diagnose</x:v>
      </x:c>
      <x:c r="L138" s="64" t="str">
        <x:v>Capstone</x:v>
      </x:c>
      <x:c r="M138" s="45" t="str">
        <x:v>Timed mixed-domain scenarios; select the best answer and explain why alternatives are weaker</x:v>
      </x:c>
      <x:c r="N138" s="45" t="str">
        <x:v>Conditional; Strategic; Metacognitive</x:v>
      </x:c>
      <x:c r="O138" s="45" t="str">
        <x:v>Mixed scenario exams with structured error analysis</x:v>
      </x:c>
      <x:c r="P138" s="46" t="str">
        <x:v>https://docs.aws.amazon.com/aws-certification/latest/ai-professional-01/ai-professional-01.html</x:v>
      </x:c>
    </x:row>
  </x:sheetData>
  <x:mergeCells>
    <x:mergeCell ref="A1:P1"/>
    <x:mergeCell ref="A2:P2"/>
    <x:mergeCell ref="A3:P3"/>
  </x:mergeCells>
  <x:conditionalFormatting sqref="L6:L138">
    <x:cfRule type="expression" dxfId="0" priority="1">
      <x:formula>L6="Hard"</x:formula>
    </x:cfRule>
    <x:cfRule type="expression" dxfId="1" priority="2">
      <x:formula>L6="Soft"</x:formula>
    </x:cfRule>
    <x:cfRule type="expression" dxfId="2" priority="3">
      <x:formula>L6="Capstone"</x:formula>
    </x:cfRule>
  </x:conditionalFormatting>
  <x:conditionalFormatting sqref="K6:K138">
    <x:cfRule type="expression" dxfId="3" priority="4">
      <x:formula>LEFT(K6,7)="Level 2"</x:formula>
    </x:cfRule>
    <x:cfRule type="expression" dxfId="4" priority="5">
      <x:formula>LEFT(K6,7)="Level 3"</x:formula>
    </x:cfRule>
    <x:cfRule type="expression" dxfId="5" priority="6">
      <x:formula>LEFT(K6,7)="Level 4"</x:formula>
    </x:cfRule>
    <x:cfRule type="expression" dxfId="6" priority="7">
      <x:formula>LEFT(K6,7)="Level 5"</x:formula>
    </x:cfRule>
  </x:conditionalFormatting>
  <x:dataValidations count="2">
    <x:dataValidation type="list" sqref="K6:K138">
      <x:formula1>"Level 2 — Explain,Level 3 — Apply/Implement,Level 4 — Select/Diagnose,Level 5 — Design/Defend"</x:formula1>
    </x:dataValidation>
    <x:dataValidation type="list" sqref="L6:L138">
      <x:formula1>"Hard,Soft,Capstone"</x:formula1>
    </x:dataValidation>
  </x:dataValidations>
  <x:pageMargins left="0.7" right="0.7" top="0.75" bottom="0.75" header="0.3" footer="0.3"/>
  <x:tableParts count="1">
    <x:tablePart xmlns:r="http://schemas.openxmlformats.org/officeDocument/2006/relationships" r:id="R451fb1b9a53e467e"/>
  </x:tableParts>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38" hidden="0" customWidth="1"/>
    <x:col min="4" max="4" width="60" hidden="0" customWidth="1"/>
    <x:col min="5" max="5" width="13" hidden="0" customWidth="1"/>
    <x:col min="6" max="6" width="15" hidden="0" customWidth="1"/>
    <x:col min="7" max="7" width="45" hidden="0" customWidth="1"/>
  </x:cols>
  <x:sheetData>
    <x:row r="1" ht="28" customHeight="1">
      <x:c r="A1" s="5" t="str">
        <x:v>Official AIP-C01 Skill Coverage Audit</x:v>
      </x:c>
      <x:c r="B1" s="5"/>
      <x:c r="C1" s="5"/>
      <x:c r="D1" s="5"/>
      <x:c r="E1" s="5"/>
      <x:c r="F1" s="5"/>
    </x:row>
    <x:row r="2" ht="28" customHeight="1">
      <x:c r="A2" s="12" t="str">
        <x:v>Each official skill must appear in at least one curriculum topic. Topic Count is formula-driven from the Curriculum Matrix.</x:v>
      </x:c>
      <x:c r="B2" s="12"/>
      <x:c r="C2" s="12"/>
      <x:c r="D2" s="12"/>
      <x:c r="E2" s="12"/>
      <x:c r="F2" s="12"/>
    </x:row>
    <x:row r="4" ht="34" customHeight="1">
      <x:c r="A4" s="28" t="str">
        <x:v>Skill ID</x:v>
      </x:c>
      <x:c r="B4" s="28" t="str">
        <x:v>Task ID</x:v>
      </x:c>
      <x:c r="C4" s="28" t="str">
        <x:v>Task Name</x:v>
      </x:c>
      <x:c r="D4" s="28" t="str">
        <x:v>Skill Summary</x:v>
      </x:c>
      <x:c r="E4" s="28" t="str">
        <x:v>Topic Count</x:v>
      </x:c>
      <x:c r="F4" s="28" t="str">
        <x:v>Coverage Status</x:v>
      </x:c>
      <x:c r="G4" s="28" t="str">
        <x:v>Source URL</x:v>
      </x:c>
    </x:row>
    <x:row r="5" ht="38" customHeight="1">
      <x:c r="A5" s="56" t="str">
        <x:v>1.1.1</x:v>
      </x:c>
      <x:c r="B5" s="62" t="str">
        <x:v>1.1</x:v>
      </x:c>
      <x:c r="C5" s="39" t="str">
        <x:v>Analyze requirements and design GenAI solutions</x:v>
      </x:c>
      <x:c r="D5" s="39" t="str">
        <x:v>Create comprehensive architectural designs that align with specific business needs and technical constraints</x:v>
      </x:c>
      <x:c r="E5" s="62" t="n">
        <x:f>COUNTIF('Skill-Topic Map'!$A$5:$A$230,A5)</x:f>
        <x:v>4</x:v>
      </x:c>
      <x:c r="F5" s="62" t="str">
        <x:f>IF(E5&gt;0,"Covered","Missing")</x:f>
        <x:v>Covered</x:v>
      </x:c>
      <x:c r="G5" s="40" t="str">
        <x:v>https://docs.aws.amazon.com/aws-certification/latest/ai-professional-01/ai-professional-01-domain1.html</x:v>
      </x:c>
    </x:row>
    <x:row r="6" ht="38" customHeight="1">
      <x:c r="A6" s="57" t="str">
        <x:v>1.1.2</x:v>
      </x:c>
      <x:c r="B6" s="63" t="str">
        <x:v>1.1</x:v>
      </x:c>
      <x:c r="C6" s="42" t="str">
        <x:v>Analyze requirements and design GenAI solutions</x:v>
      </x:c>
      <x:c r="D6" s="42" t="str">
        <x:v>Develop technical proof-of-concept implementations to validate feasibility, performance characteristics, and business value before proceeding to full-scale deployment</x:v>
      </x:c>
      <x:c r="E6" s="63" t="n">
        <x:f>COUNTIF('Skill-Topic Map'!$A$5:$A$230,A6)</x:f>
        <x:v>2</x:v>
      </x:c>
      <x:c r="F6" s="63" t="str">
        <x:f>IF(E6&gt;0,"Covered","Missing")</x:f>
        <x:v>Covered</x:v>
      </x:c>
      <x:c r="G6" s="43" t="str">
        <x:v>https://docs.aws.amazon.com/aws-certification/latest/ai-professional-01/ai-professional-01-domain1.html</x:v>
      </x:c>
    </x:row>
    <x:row r="7" ht="38" customHeight="1">
      <x:c r="A7" s="57" t="str">
        <x:v>1.1.3</x:v>
      </x:c>
      <x:c r="B7" s="63" t="str">
        <x:v>1.1</x:v>
      </x:c>
      <x:c r="C7" s="42" t="str">
        <x:v>Analyze requirements and design GenAI solutions</x:v>
      </x:c>
      <x:c r="D7" s="42" t="str">
        <x:v>Create standardized technical components to ensure consistent implementation across multiple deployment scenarios</x:v>
      </x:c>
      <x:c r="E7" s="63" t="n">
        <x:f>COUNTIF('Skill-Topic Map'!$A$5:$A$230,A7)</x:f>
        <x:v>4</x:v>
      </x:c>
      <x:c r="F7" s="63" t="str">
        <x:f>IF(E7&gt;0,"Covered","Missing")</x:f>
        <x:v>Covered</x:v>
      </x:c>
      <x:c r="G7" s="43" t="str">
        <x:v>https://docs.aws.amazon.com/aws-certification/latest/ai-professional-01/ai-professional-01-domain1.html</x:v>
      </x:c>
    </x:row>
    <x:row r="8" ht="38" customHeight="1">
      <x:c r="A8" s="57" t="str">
        <x:v>1.2.1</x:v>
      </x:c>
      <x:c r="B8" s="63" t="str">
        <x:v>1.2</x:v>
      </x:c>
      <x:c r="C8" s="42" t="str">
        <x:v>Select and configure FMs</x:v>
      </x:c>
      <x:c r="D8" s="42" t="str">
        <x:v>Assess and choose FMs to ensure optimal alignment with specific business use cases and technical requirements</x:v>
      </x:c>
      <x:c r="E8" s="63" t="n">
        <x:f>COUNTIF('Skill-Topic Map'!$A$5:$A$230,A8)</x:f>
        <x:v>4</x:v>
      </x:c>
      <x:c r="F8" s="63" t="str">
        <x:f>IF(E8&gt;0,"Covered","Missing")</x:f>
        <x:v>Covered</x:v>
      </x:c>
      <x:c r="G8" s="43" t="str">
        <x:v>https://docs.aws.amazon.com/aws-certification/latest/ai-professional-01/ai-professional-01-domain1.html</x:v>
      </x:c>
    </x:row>
    <x:row r="9" ht="38" customHeight="1">
      <x:c r="A9" s="57" t="str">
        <x:v>1.2.2</x:v>
      </x:c>
      <x:c r="B9" s="63" t="str">
        <x:v>1.2</x:v>
      </x:c>
      <x:c r="C9" s="42" t="str">
        <x:v>Select and configure FMs</x:v>
      </x:c>
      <x:c r="D9" s="42" t="str">
        <x:v>Create flexible architecture patterns to enable dynamic model selection and provider switching without requiring code modifications</x:v>
      </x:c>
      <x:c r="E9" s="63" t="n">
        <x:f>COUNTIF('Skill-Topic Map'!$A$5:$A$230,A9)</x:f>
        <x:v>1</x:v>
      </x:c>
      <x:c r="F9" s="63" t="str">
        <x:f>IF(E9&gt;0,"Covered","Missing")</x:f>
        <x:v>Covered</x:v>
      </x:c>
      <x:c r="G9" s="43" t="str">
        <x:v>https://docs.aws.amazon.com/aws-certification/latest/ai-professional-01/ai-professional-01-domain1.html</x:v>
      </x:c>
    </x:row>
    <x:row r="10" ht="38" customHeight="1">
      <x:c r="A10" s="57" t="str">
        <x:v>1.2.3</x:v>
      </x:c>
      <x:c r="B10" s="63" t="str">
        <x:v>1.2</x:v>
      </x:c>
      <x:c r="C10" s="42" t="str">
        <x:v>Select and configure FMs</x:v>
      </x:c>
      <x:c r="D10" s="42" t="str">
        <x:v>Design resilient AI systems to ensure continuous operation during service disruptions</x:v>
      </x:c>
      <x:c r="E10" s="63" t="n">
        <x:f>COUNTIF('Skill-Topic Map'!$A$5:$A$230,A10)</x:f>
        <x:v>2</x:v>
      </x:c>
      <x:c r="F10" s="63" t="str">
        <x:f>IF(E10&gt;0,"Covered","Missing")</x:f>
        <x:v>Covered</x:v>
      </x:c>
      <x:c r="G10" s="43" t="str">
        <x:v>https://docs.aws.amazon.com/aws-certification/latest/ai-professional-01/ai-professional-01-domain1.html</x:v>
      </x:c>
    </x:row>
    <x:row r="11" ht="38" customHeight="1">
      <x:c r="A11" s="57" t="str">
        <x:v>1.2.4</x:v>
      </x:c>
      <x:c r="B11" s="63" t="str">
        <x:v>1.2</x:v>
      </x:c>
      <x:c r="C11" s="42" t="str">
        <x:v>Select and configure FMs</x:v>
      </x:c>
      <x:c r="D11" s="42" t="str">
        <x:v>Implement FM customization deployment and lifecycle management</x:v>
      </x:c>
      <x:c r="E11" s="63" t="n">
        <x:f>COUNTIF('Skill-Topic Map'!$A$5:$A$230,A11)</x:f>
        <x:v>2</x:v>
      </x:c>
      <x:c r="F11" s="63" t="str">
        <x:f>IF(E11&gt;0,"Covered","Missing")</x:f>
        <x:v>Covered</x:v>
      </x:c>
      <x:c r="G11" s="43" t="str">
        <x:v>https://docs.aws.amazon.com/aws-certification/latest/ai-professional-01/ai-professional-01-domain1.html</x:v>
      </x:c>
    </x:row>
    <x:row r="12" ht="38" customHeight="1">
      <x:c r="A12" s="57" t="str">
        <x:v>1.3.1</x:v>
      </x:c>
      <x:c r="B12" s="63" t="str">
        <x:v>1.3</x:v>
      </x:c>
      <x:c r="C12" s="42" t="str">
        <x:v>Implement data validation and processing pipelines for FM consumption</x:v>
      </x:c>
      <x:c r="D12" s="42" t="str">
        <x:v>Create comprehensive data validation workflows to ensure data meets quality standards for FM consumption</x:v>
      </x:c>
      <x:c r="E12" s="63" t="n">
        <x:f>COUNTIF('Skill-Topic Map'!$A$5:$A$230,A12)</x:f>
        <x:v>1</x:v>
      </x:c>
      <x:c r="F12" s="63" t="str">
        <x:f>IF(E12&gt;0,"Covered","Missing")</x:f>
        <x:v>Covered</x:v>
      </x:c>
      <x:c r="G12" s="43" t="str">
        <x:v>https://docs.aws.amazon.com/aws-certification/latest/ai-professional-01/ai-professional-01-domain1.html</x:v>
      </x:c>
    </x:row>
    <x:row r="13" ht="38" customHeight="1">
      <x:c r="A13" s="57" t="str">
        <x:v>1.3.2</x:v>
      </x:c>
      <x:c r="B13" s="63" t="str">
        <x:v>1.3</x:v>
      </x:c>
      <x:c r="C13" s="42" t="str">
        <x:v>Implement data validation and processing pipelines for FM consumption</x:v>
      </x:c>
      <x:c r="D13" s="42" t="str">
        <x:v>Create data processing workflows to handle complex data types including text, image, audio, and tabular data with specialized processing requirements for FM consumption</x:v>
      </x:c>
      <x:c r="E13" s="63" t="n">
        <x:f>COUNTIF('Skill-Topic Map'!$A$5:$A$230,A13)</x:f>
        <x:v>1</x:v>
      </x:c>
      <x:c r="F13" s="63" t="str">
        <x:f>IF(E13&gt;0,"Covered","Missing")</x:f>
        <x:v>Covered</x:v>
      </x:c>
      <x:c r="G13" s="43" t="str">
        <x:v>https://docs.aws.amazon.com/aws-certification/latest/ai-professional-01/ai-professional-01-domain1.html</x:v>
      </x:c>
    </x:row>
    <x:row r="14" ht="38" customHeight="1">
      <x:c r="A14" s="57" t="str">
        <x:v>1.3.3</x:v>
      </x:c>
      <x:c r="B14" s="63" t="str">
        <x:v>1.3</x:v>
      </x:c>
      <x:c r="C14" s="42" t="str">
        <x:v>Implement data validation and processing pipelines for FM consumption</x:v>
      </x:c>
      <x:c r="D14" s="42" t="str">
        <x:v>Format input data for FM inference according to model-specific requirements</x:v>
      </x:c>
      <x:c r="E14" s="63" t="n">
        <x:f>COUNTIF('Skill-Topic Map'!$A$5:$A$230,A14)</x:f>
        <x:v>2</x:v>
      </x:c>
      <x:c r="F14" s="63" t="str">
        <x:f>IF(E14&gt;0,"Covered","Missing")</x:f>
        <x:v>Covered</x:v>
      </x:c>
      <x:c r="G14" s="43" t="str">
        <x:v>https://docs.aws.amazon.com/aws-certification/latest/ai-professional-01/ai-professional-01-domain1.html</x:v>
      </x:c>
    </x:row>
    <x:row r="15" ht="38" customHeight="1">
      <x:c r="A15" s="57" t="str">
        <x:v>1.3.4</x:v>
      </x:c>
      <x:c r="B15" s="63" t="str">
        <x:v>1.3</x:v>
      </x:c>
      <x:c r="C15" s="42" t="str">
        <x:v>Implement data validation and processing pipelines for FM consumption</x:v>
      </x:c>
      <x:c r="D15" s="42" t="str">
        <x:v>Enhance input data quality to improve FM response quality and consistency</x:v>
      </x:c>
      <x:c r="E15" s="63" t="n">
        <x:f>COUNTIF('Skill-Topic Map'!$A$5:$A$230,A15)</x:f>
        <x:v>1</x:v>
      </x:c>
      <x:c r="F15" s="63" t="str">
        <x:f>IF(E15&gt;0,"Covered","Missing")</x:f>
        <x:v>Covered</x:v>
      </x:c>
      <x:c r="G15" s="43" t="str">
        <x:v>https://docs.aws.amazon.com/aws-certification/latest/ai-professional-01/ai-professional-01-domain1.html</x:v>
      </x:c>
    </x:row>
    <x:row r="16" ht="38" customHeight="1">
      <x:c r="A16" s="57" t="str">
        <x:v>1.4.1</x:v>
      </x:c>
      <x:c r="B16" s="63" t="str">
        <x:v>1.4</x:v>
      </x:c>
      <x:c r="C16" s="42" t="str">
        <x:v>Design and implement vector store solutions</x:v>
      </x:c>
      <x:c r="D16" s="42" t="str">
        <x:v>Create advanced vector database architectures specifically for FM augmentation to enable efficient semantic retrieval beyond traditional search capabilities</x:v>
      </x:c>
      <x:c r="E16" s="63" t="n">
        <x:f>COUNTIF('Skill-Topic Map'!$A$5:$A$230,A16)</x:f>
        <x:v>2</x:v>
      </x:c>
      <x:c r="F16" s="63" t="str">
        <x:f>IF(E16&gt;0,"Covered","Missing")</x:f>
        <x:v>Covered</x:v>
      </x:c>
      <x:c r="G16" s="43" t="str">
        <x:v>https://docs.aws.amazon.com/aws-certification/latest/ai-professional-01/ai-professional-01-domain1.html</x:v>
      </x:c>
    </x:row>
    <x:row r="17" ht="38" customHeight="1">
      <x:c r="A17" s="57" t="str">
        <x:v>1.4.2</x:v>
      </x:c>
      <x:c r="B17" s="63" t="str">
        <x:v>1.4</x:v>
      </x:c>
      <x:c r="C17" s="42" t="str">
        <x:v>Design and implement vector store solutions</x:v>
      </x:c>
      <x:c r="D17" s="42" t="str">
        <x:v>Develop comprehensive metadata frameworks to improve search precision and context awareness for FM interactions</x:v>
      </x:c>
      <x:c r="E17" s="63" t="n">
        <x:f>COUNTIF('Skill-Topic Map'!$A$5:$A$230,A17)</x:f>
        <x:v>1</x:v>
      </x:c>
      <x:c r="F17" s="63" t="str">
        <x:f>IF(E17&gt;0,"Covered","Missing")</x:f>
        <x:v>Covered</x:v>
      </x:c>
      <x:c r="G17" s="43" t="str">
        <x:v>https://docs.aws.amazon.com/aws-certification/latest/ai-professional-01/ai-professional-01-domain1.html</x:v>
      </x:c>
    </x:row>
    <x:row r="18" ht="38" customHeight="1">
      <x:c r="A18" s="57" t="str">
        <x:v>1.4.3</x:v>
      </x:c>
      <x:c r="B18" s="63" t="str">
        <x:v>1.4</x:v>
      </x:c>
      <x:c r="C18" s="42" t="str">
        <x:v>Design and implement vector store solutions</x:v>
      </x:c>
      <x:c r="D18" s="42" t="str">
        <x:v>Implement high-performance vector database architectures to optimize semantic search performance at scale for FM retrieval</x:v>
      </x:c>
      <x:c r="E18" s="63" t="n">
        <x:f>COUNTIF('Skill-Topic Map'!$A$5:$A$230,A18)</x:f>
        <x:v>1</x:v>
      </x:c>
      <x:c r="F18" s="63" t="str">
        <x:f>IF(E18&gt;0,"Covered","Missing")</x:f>
        <x:v>Covered</x:v>
      </x:c>
      <x:c r="G18" s="43" t="str">
        <x:v>https://docs.aws.amazon.com/aws-certification/latest/ai-professional-01/ai-professional-01-domain1.html</x:v>
      </x:c>
    </x:row>
    <x:row r="19" ht="38" customHeight="1">
      <x:c r="A19" s="57" t="str">
        <x:v>1.4.4</x:v>
      </x:c>
      <x:c r="B19" s="63" t="str">
        <x:v>1.4</x:v>
      </x:c>
      <x:c r="C19" s="42" t="str">
        <x:v>Design and implement vector store solutions</x:v>
      </x:c>
      <x:c r="D19" s="42" t="str">
        <x:v>Use AWS services to create integration components to connect with resources</x:v>
      </x:c>
      <x:c r="E19" s="63" t="n">
        <x:f>COUNTIF('Skill-Topic Map'!$A$5:$A$230,A19)</x:f>
        <x:v>1</x:v>
      </x:c>
      <x:c r="F19" s="63" t="str">
        <x:f>IF(E19&gt;0,"Covered","Missing")</x:f>
        <x:v>Covered</x:v>
      </x:c>
      <x:c r="G19" s="43" t="str">
        <x:v>https://docs.aws.amazon.com/aws-certification/latest/ai-professional-01/ai-professional-01-domain1.html</x:v>
      </x:c>
    </x:row>
    <x:row r="20" ht="38" customHeight="1">
      <x:c r="A20" s="57" t="str">
        <x:v>1.4.5</x:v>
      </x:c>
      <x:c r="B20" s="63" t="str">
        <x:v>1.4</x:v>
      </x:c>
      <x:c r="C20" s="42" t="str">
        <x:v>Design and implement vector store solutions</x:v>
      </x:c>
      <x:c r="D20" s="42" t="str">
        <x:v>Design and deploy data maintenance systems to ensure that vector stores contain current and accurate information for FM augmentation</x:v>
      </x:c>
      <x:c r="E20" s="63" t="n">
        <x:f>COUNTIF('Skill-Topic Map'!$A$5:$A$230,A20)</x:f>
        <x:v>1</x:v>
      </x:c>
      <x:c r="F20" s="63" t="str">
        <x:f>IF(E20&gt;0,"Covered","Missing")</x:f>
        <x:v>Covered</x:v>
      </x:c>
      <x:c r="G20" s="43" t="str">
        <x:v>https://docs.aws.amazon.com/aws-certification/latest/ai-professional-01/ai-professional-01-domain1.html</x:v>
      </x:c>
    </x:row>
    <x:row r="21" ht="38" customHeight="1">
      <x:c r="A21" s="57" t="str">
        <x:v>1.5.1</x:v>
      </x:c>
      <x:c r="B21" s="63" t="str">
        <x:v>1.5</x:v>
      </x:c>
      <x:c r="C21" s="42" t="str">
        <x:v>Design retrieval mechanisms for FM augmentation</x:v>
      </x:c>
      <x:c r="D21" s="42" t="str">
        <x:v>Develop effective document segmentation approaches to optimize retrieval performance for FM context augmentation</x:v>
      </x:c>
      <x:c r="E21" s="63" t="n">
        <x:f>COUNTIF('Skill-Topic Map'!$A$5:$A$230,A21)</x:f>
        <x:v>1</x:v>
      </x:c>
      <x:c r="F21" s="63" t="str">
        <x:f>IF(E21&gt;0,"Covered","Missing")</x:f>
        <x:v>Covered</x:v>
      </x:c>
      <x:c r="G21" s="43" t="str">
        <x:v>https://docs.aws.amazon.com/aws-certification/latest/ai-professional-01/ai-professional-01-domain1.html</x:v>
      </x:c>
    </x:row>
    <x:row r="22" ht="38" customHeight="1">
      <x:c r="A22" s="57" t="str">
        <x:v>1.5.2</x:v>
      </x:c>
      <x:c r="B22" s="63" t="str">
        <x:v>1.5</x:v>
      </x:c>
      <x:c r="C22" s="42" t="str">
        <x:v>Design retrieval mechanisms for FM augmentation</x:v>
      </x:c>
      <x:c r="D22" s="42" t="str">
        <x:v>Select and configure optimal embedding solutions to create efficient vector representations for semantic search</x:v>
      </x:c>
      <x:c r="E22" s="63" t="n">
        <x:f>COUNTIF('Skill-Topic Map'!$A$5:$A$230,A22)</x:f>
        <x:v>1</x:v>
      </x:c>
      <x:c r="F22" s="63" t="str">
        <x:f>IF(E22&gt;0,"Covered","Missing")</x:f>
        <x:v>Covered</x:v>
      </x:c>
      <x:c r="G22" s="43" t="str">
        <x:v>https://docs.aws.amazon.com/aws-certification/latest/ai-professional-01/ai-professional-01-domain1.html</x:v>
      </x:c>
    </x:row>
    <x:row r="23" ht="38" customHeight="1">
      <x:c r="A23" s="57" t="str">
        <x:v>1.5.3</x:v>
      </x:c>
      <x:c r="B23" s="63" t="str">
        <x:v>1.5</x:v>
      </x:c>
      <x:c r="C23" s="42" t="str">
        <x:v>Design retrieval mechanisms for FM augmentation</x:v>
      </x:c>
      <x:c r="D23" s="42" t="str">
        <x:v>Deploy and configure vector search solutions to enable semantic search capabilities for FM augmentation</x:v>
      </x:c>
      <x:c r="E23" s="63" t="n">
        <x:f>COUNTIF('Skill-Topic Map'!$A$5:$A$230,A23)</x:f>
        <x:v>3</x:v>
      </x:c>
      <x:c r="F23" s="63" t="str">
        <x:f>IF(E23&gt;0,"Covered","Missing")</x:f>
        <x:v>Covered</x:v>
      </x:c>
      <x:c r="G23" s="43" t="str">
        <x:v>https://docs.aws.amazon.com/aws-certification/latest/ai-professional-01/ai-professional-01-domain1.html</x:v>
      </x:c>
    </x:row>
    <x:row r="24" ht="38" customHeight="1">
      <x:c r="A24" s="57" t="str">
        <x:v>1.5.4</x:v>
      </x:c>
      <x:c r="B24" s="63" t="str">
        <x:v>1.5</x:v>
      </x:c>
      <x:c r="C24" s="42" t="str">
        <x:v>Design retrieval mechanisms for FM augmentation</x:v>
      </x:c>
      <x:c r="D24" s="42" t="str">
        <x:v>Create advanced search architectures to improve the relevance and accuracy of retrieved information for FM context</x:v>
      </x:c>
      <x:c r="E24" s="63" t="n">
        <x:f>COUNTIF('Skill-Topic Map'!$A$5:$A$230,A24)</x:f>
        <x:v>2</x:v>
      </x:c>
      <x:c r="F24" s="63" t="str">
        <x:f>IF(E24&gt;0,"Covered","Missing")</x:f>
        <x:v>Covered</x:v>
      </x:c>
      <x:c r="G24" s="43" t="str">
        <x:v>https://docs.aws.amazon.com/aws-certification/latest/ai-professional-01/ai-professional-01-domain1.html</x:v>
      </x:c>
    </x:row>
    <x:row r="25" ht="38" customHeight="1">
      <x:c r="A25" s="57" t="str">
        <x:v>1.5.5</x:v>
      </x:c>
      <x:c r="B25" s="63" t="str">
        <x:v>1.5</x:v>
      </x:c>
      <x:c r="C25" s="42" t="str">
        <x:v>Design retrieval mechanisms for FM augmentation</x:v>
      </x:c>
      <x:c r="D25" s="42" t="str">
        <x:v>Develop sophisticated query handling systems to improve the retrieval effectiveness and result quality for FM augmentation</x:v>
      </x:c>
      <x:c r="E25" s="63" t="n">
        <x:f>COUNTIF('Skill-Topic Map'!$A$5:$A$230,A25)</x:f>
        <x:v>1</x:v>
      </x:c>
      <x:c r="F25" s="63" t="str">
        <x:f>IF(E25&gt;0,"Covered","Missing")</x:f>
        <x:v>Covered</x:v>
      </x:c>
      <x:c r="G25" s="43" t="str">
        <x:v>https://docs.aws.amazon.com/aws-certification/latest/ai-professional-01/ai-professional-01-domain1.html</x:v>
      </x:c>
    </x:row>
    <x:row r="26" ht="38" customHeight="1">
      <x:c r="A26" s="57" t="str">
        <x:v>1.5.6</x:v>
      </x:c>
      <x:c r="B26" s="63" t="str">
        <x:v>1.5</x:v>
      </x:c>
      <x:c r="C26" s="42" t="str">
        <x:v>Design retrieval mechanisms for FM augmentation</x:v>
      </x:c>
      <x:c r="D26" s="42" t="str">
        <x:v>Create consistent access mechanisms to enable seamless integration with FMs</x:v>
      </x:c>
      <x:c r="E26" s="63" t="n">
        <x:f>COUNTIF('Skill-Topic Map'!$A$5:$A$230,A26)</x:f>
        <x:v>2</x:v>
      </x:c>
      <x:c r="F26" s="63" t="str">
        <x:f>IF(E26&gt;0,"Covered","Missing")</x:f>
        <x:v>Covered</x:v>
      </x:c>
      <x:c r="G26" s="43" t="str">
        <x:v>https://docs.aws.amazon.com/aws-certification/latest/ai-professional-01/ai-professional-01-domain1.html</x:v>
      </x:c>
    </x:row>
    <x:row r="27" ht="38" customHeight="1">
      <x:c r="A27" s="57" t="str">
        <x:v>1.6.1</x:v>
      </x:c>
      <x:c r="B27" s="63" t="str">
        <x:v>1.6</x:v>
      </x:c>
      <x:c r="C27" s="42" t="str">
        <x:v>Implement prompt engineering strategies and governance for FM interactions</x:v>
      </x:c>
      <x:c r="D27" s="42" t="str">
        <x:v>Create effective model instruction frameworks to control FM behavior and outputs</x:v>
      </x:c>
      <x:c r="E27" s="63" t="n">
        <x:f>COUNTIF('Skill-Topic Map'!$A$5:$A$230,A27)</x:f>
        <x:v>1</x:v>
      </x:c>
      <x:c r="F27" s="63" t="str">
        <x:f>IF(E27&gt;0,"Covered","Missing")</x:f>
        <x:v>Covered</x:v>
      </x:c>
      <x:c r="G27" s="43" t="str">
        <x:v>https://docs.aws.amazon.com/aws-certification/latest/ai-professional-01/ai-professional-01-domain1.html</x:v>
      </x:c>
    </x:row>
    <x:row r="28" ht="38" customHeight="1">
      <x:c r="A28" s="57" t="str">
        <x:v>1.6.2</x:v>
      </x:c>
      <x:c r="B28" s="63" t="str">
        <x:v>1.6</x:v>
      </x:c>
      <x:c r="C28" s="42" t="str">
        <x:v>Implement prompt engineering strategies and governance for FM interactions</x:v>
      </x:c>
      <x:c r="D28" s="42" t="str">
        <x:v>Build interactive AI systems to maintain context and improve user interactions with FMs</x:v>
      </x:c>
      <x:c r="E28" s="63" t="n">
        <x:f>COUNTIF('Skill-Topic Map'!$A$5:$A$230,A28)</x:f>
        <x:v>1</x:v>
      </x:c>
      <x:c r="F28" s="63" t="str">
        <x:f>IF(E28&gt;0,"Covered","Missing")</x:f>
        <x:v>Covered</x:v>
      </x:c>
      <x:c r="G28" s="43" t="str">
        <x:v>https://docs.aws.amazon.com/aws-certification/latest/ai-professional-01/ai-professional-01-domain1.html</x:v>
      </x:c>
    </x:row>
    <x:row r="29" ht="38" customHeight="1">
      <x:c r="A29" s="57" t="str">
        <x:v>1.6.3</x:v>
      </x:c>
      <x:c r="B29" s="63" t="str">
        <x:v>1.6</x:v>
      </x:c>
      <x:c r="C29" s="42" t="str">
        <x:v>Implement prompt engineering strategies and governance for FM interactions</x:v>
      </x:c>
      <x:c r="D29" s="42" t="str">
        <x:v>Implement comprehensive prompt management and governance systems to ensure consistency and oversight of FM operations</x:v>
      </x:c>
      <x:c r="E29" s="63" t="n">
        <x:f>COUNTIF('Skill-Topic Map'!$A$5:$A$230,A29)</x:f>
        <x:v>1</x:v>
      </x:c>
      <x:c r="F29" s="63" t="str">
        <x:f>IF(E29&gt;0,"Covered","Missing")</x:f>
        <x:v>Covered</x:v>
      </x:c>
      <x:c r="G29" s="43" t="str">
        <x:v>https://docs.aws.amazon.com/aws-certification/latest/ai-professional-01/ai-professional-01-domain1.html</x:v>
      </x:c>
    </x:row>
    <x:row r="30" ht="38" customHeight="1">
      <x:c r="A30" s="57" t="str">
        <x:v>1.6.4</x:v>
      </x:c>
      <x:c r="B30" s="63" t="str">
        <x:v>1.6</x:v>
      </x:c>
      <x:c r="C30" s="42" t="str">
        <x:v>Implement prompt engineering strategies and governance for FM interactions</x:v>
      </x:c>
      <x:c r="D30" s="42" t="str">
        <x:v>Develop quality assurance systems to ensure prompt effectiveness and reliability for FMs</x:v>
      </x:c>
      <x:c r="E30" s="63" t="n">
        <x:f>COUNTIF('Skill-Topic Map'!$A$5:$A$230,A30)</x:f>
        <x:v>1</x:v>
      </x:c>
      <x:c r="F30" s="63" t="str">
        <x:f>IF(E30&gt;0,"Covered","Missing")</x:f>
        <x:v>Covered</x:v>
      </x:c>
      <x:c r="G30" s="43" t="str">
        <x:v>https://docs.aws.amazon.com/aws-certification/latest/ai-professional-01/ai-professional-01-domain1.html</x:v>
      </x:c>
    </x:row>
    <x:row r="31" ht="38" customHeight="1">
      <x:c r="A31" s="57" t="str">
        <x:v>1.6.5</x:v>
      </x:c>
      <x:c r="B31" s="63" t="str">
        <x:v>1.6</x:v>
      </x:c>
      <x:c r="C31" s="42" t="str">
        <x:v>Implement prompt engineering strategies and governance for FM interactions</x:v>
      </x:c>
      <x:c r="D31" s="42" t="str">
        <x:v>Enhance FM performance to refine prompts iteratively and improve response quality beyond basic prompting techniques</x:v>
      </x:c>
      <x:c r="E31" s="63" t="n">
        <x:f>COUNTIF('Skill-Topic Map'!$A$5:$A$230,A31)</x:f>
        <x:v>3</x:v>
      </x:c>
      <x:c r="F31" s="63" t="str">
        <x:f>IF(E31&gt;0,"Covered","Missing")</x:f>
        <x:v>Covered</x:v>
      </x:c>
      <x:c r="G31" s="43" t="str">
        <x:v>https://docs.aws.amazon.com/aws-certification/latest/ai-professional-01/ai-professional-01-domain1.html</x:v>
      </x:c>
    </x:row>
    <x:row r="32" ht="38" customHeight="1">
      <x:c r="A32" s="57" t="str">
        <x:v>1.6.6</x:v>
      </x:c>
      <x:c r="B32" s="63" t="str">
        <x:v>1.6</x:v>
      </x:c>
      <x:c r="C32" s="42" t="str">
        <x:v>Implement prompt engineering strategies and governance for FM interactions</x:v>
      </x:c>
      <x:c r="D32" s="42" t="str">
        <x:v>Design complex prompt systems to handle sophisticated tasks with FMs</x:v>
      </x:c>
      <x:c r="E32" s="63" t="n">
        <x:f>COUNTIF('Skill-Topic Map'!$A$5:$A$230,A32)</x:f>
        <x:v>1</x:v>
      </x:c>
      <x:c r="F32" s="63" t="str">
        <x:f>IF(E32&gt;0,"Covered","Missing")</x:f>
        <x:v>Covered</x:v>
      </x:c>
      <x:c r="G32" s="43" t="str">
        <x:v>https://docs.aws.amazon.com/aws-certification/latest/ai-professional-01/ai-professional-01-domain1.html</x:v>
      </x:c>
    </x:row>
    <x:row r="33" ht="38" customHeight="1">
      <x:c r="A33" s="57" t="str">
        <x:v>2.1.1</x:v>
      </x:c>
      <x:c r="B33" s="63" t="str">
        <x:v>2.1</x:v>
      </x:c>
      <x:c r="C33" s="42" t="str">
        <x:v>Implement agentic AI solutions and tool integrations</x:v>
      </x:c>
      <x:c r="D33" s="42" t="str">
        <x:v>Develop intelligent autonomous systems with appropriate memory and state management capabilities</x:v>
      </x:c>
      <x:c r="E33" s="63" t="n">
        <x:f>COUNTIF('Skill-Topic Map'!$A$5:$A$230,A33)</x:f>
        <x:v>4</x:v>
      </x:c>
      <x:c r="F33" s="63" t="str">
        <x:f>IF(E33&gt;0,"Covered","Missing")</x:f>
        <x:v>Covered</x:v>
      </x:c>
      <x:c r="G33" s="43" t="str">
        <x:v>https://docs.aws.amazon.com/aws-certification/latest/ai-professional-01/ai-professional-01-domain2.html</x:v>
      </x:c>
    </x:row>
    <x:row r="34" ht="38" customHeight="1">
      <x:c r="A34" s="57" t="str">
        <x:v>2.1.2</x:v>
      </x:c>
      <x:c r="B34" s="63" t="str">
        <x:v>2.1</x:v>
      </x:c>
      <x:c r="C34" s="42" t="str">
        <x:v>Implement agentic AI solutions and tool integrations</x:v>
      </x:c>
      <x:c r="D34" s="42" t="str">
        <x:v>Create advanced problem-solving systems to give FMs the ability to break down and solve complex problems by following structured reasoning steps</x:v>
      </x:c>
      <x:c r="E34" s="63" t="n">
        <x:f>COUNTIF('Skill-Topic Map'!$A$5:$A$230,A34)</x:f>
        <x:v>1</x:v>
      </x:c>
      <x:c r="F34" s="63" t="str">
        <x:f>IF(E34&gt;0,"Covered","Missing")</x:f>
        <x:v>Covered</x:v>
      </x:c>
      <x:c r="G34" s="43" t="str">
        <x:v>https://docs.aws.amazon.com/aws-certification/latest/ai-professional-01/ai-professional-01-domain2.html</x:v>
      </x:c>
    </x:row>
    <x:row r="35" ht="38" customHeight="1">
      <x:c r="A35" s="57" t="str">
        <x:v>2.1.3</x:v>
      </x:c>
      <x:c r="B35" s="63" t="str">
        <x:v>2.1</x:v>
      </x:c>
      <x:c r="C35" s="42" t="str">
        <x:v>Implement agentic AI solutions and tool integrations</x:v>
      </x:c>
      <x:c r="D35" s="42" t="str">
        <x:v>Develop safeguarded AI workflows to ensure controlled FM behavior</x:v>
      </x:c>
      <x:c r="E35" s="63" t="n">
        <x:f>COUNTIF('Skill-Topic Map'!$A$5:$A$230,A35)</x:f>
        <x:v>2</x:v>
      </x:c>
      <x:c r="F35" s="63" t="str">
        <x:f>IF(E35&gt;0,"Covered","Missing")</x:f>
        <x:v>Covered</x:v>
      </x:c>
      <x:c r="G35" s="43" t="str">
        <x:v>https://docs.aws.amazon.com/aws-certification/latest/ai-professional-01/ai-professional-01-domain2.html</x:v>
      </x:c>
    </x:row>
    <x:row r="36" ht="38" customHeight="1">
      <x:c r="A36" s="57" t="str">
        <x:v>2.1.4</x:v>
      </x:c>
      <x:c r="B36" s="63" t="str">
        <x:v>2.1</x:v>
      </x:c>
      <x:c r="C36" s="42" t="str">
        <x:v>Implement agentic AI solutions and tool integrations</x:v>
      </x:c>
      <x:c r="D36" s="42" t="str">
        <x:v>Create sophisticated model coordination systems to optimize performance across multiple capabilities</x:v>
      </x:c>
      <x:c r="E36" s="63" t="n">
        <x:f>COUNTIF('Skill-Topic Map'!$A$5:$A$230,A36)</x:f>
        <x:v>3</x:v>
      </x:c>
      <x:c r="F36" s="63" t="str">
        <x:f>IF(E36&gt;0,"Covered","Missing")</x:f>
        <x:v>Covered</x:v>
      </x:c>
      <x:c r="G36" s="43" t="str">
        <x:v>https://docs.aws.amazon.com/aws-certification/latest/ai-professional-01/ai-professional-01-domain2.html</x:v>
      </x:c>
    </x:row>
    <x:row r="37" ht="38" customHeight="1">
      <x:c r="A37" s="57" t="str">
        <x:v>2.1.5</x:v>
      </x:c>
      <x:c r="B37" s="63" t="str">
        <x:v>2.1</x:v>
      </x:c>
      <x:c r="C37" s="42" t="str">
        <x:v>Implement agentic AI solutions and tool integrations</x:v>
      </x:c>
      <x:c r="D37" s="42" t="str">
        <x:v>Develop collaborative AI systems to enhance FM capabilities with human expertise</x:v>
      </x:c>
      <x:c r="E37" s="63" t="n">
        <x:f>COUNTIF('Skill-Topic Map'!$A$5:$A$230,A37)</x:f>
        <x:v>1</x:v>
      </x:c>
      <x:c r="F37" s="63" t="str">
        <x:f>IF(E37&gt;0,"Covered","Missing")</x:f>
        <x:v>Covered</x:v>
      </x:c>
      <x:c r="G37" s="43" t="str">
        <x:v>https://docs.aws.amazon.com/aws-certification/latest/ai-professional-01/ai-professional-01-domain2.html</x:v>
      </x:c>
    </x:row>
    <x:row r="38" ht="38" customHeight="1">
      <x:c r="A38" s="57" t="str">
        <x:v>2.1.6</x:v>
      </x:c>
      <x:c r="B38" s="63" t="str">
        <x:v>2.1</x:v>
      </x:c>
      <x:c r="C38" s="42" t="str">
        <x:v>Implement agentic AI solutions and tool integrations</x:v>
      </x:c>
      <x:c r="D38" s="42" t="str">
        <x:v>Implement intelligent tool integrations to extend FM capabilities and to ensure reliable tool operations</x:v>
      </x:c>
      <x:c r="E38" s="63" t="n">
        <x:f>COUNTIF('Skill-Topic Map'!$A$5:$A$230,A38)</x:f>
        <x:v>3</x:v>
      </x:c>
      <x:c r="F38" s="63" t="str">
        <x:f>IF(E38&gt;0,"Covered","Missing")</x:f>
        <x:v>Covered</x:v>
      </x:c>
      <x:c r="G38" s="43" t="str">
        <x:v>https://docs.aws.amazon.com/aws-certification/latest/ai-professional-01/ai-professional-01-domain2.html</x:v>
      </x:c>
    </x:row>
    <x:row r="39" ht="38" customHeight="1">
      <x:c r="A39" s="57" t="str">
        <x:v>2.1.7</x:v>
      </x:c>
      <x:c r="B39" s="63" t="str">
        <x:v>2.1</x:v>
      </x:c>
      <x:c r="C39" s="42" t="str">
        <x:v>Implement agentic AI solutions and tool integrations</x:v>
      </x:c>
      <x:c r="D39" s="42" t="str">
        <x:v>Develop model extension frameworks to enhance FM capabilities</x:v>
      </x:c>
      <x:c r="E39" s="63" t="n">
        <x:f>COUNTIF('Skill-Topic Map'!$A$5:$A$230,A39)</x:f>
        <x:v>1</x:v>
      </x:c>
      <x:c r="F39" s="63" t="str">
        <x:f>IF(E39&gt;0,"Covered","Missing")</x:f>
        <x:v>Covered</x:v>
      </x:c>
      <x:c r="G39" s="43" t="str">
        <x:v>https://docs.aws.amazon.com/aws-certification/latest/ai-professional-01/ai-professional-01-domain2.html</x:v>
      </x:c>
    </x:row>
    <x:row r="40" ht="38" customHeight="1">
      <x:c r="A40" s="57" t="str">
        <x:v>2.2.1</x:v>
      </x:c>
      <x:c r="B40" s="63" t="str">
        <x:v>2.2</x:v>
      </x:c>
      <x:c r="C40" s="42" t="str">
        <x:v>Implement model deployment strategies</x:v>
      </x:c>
      <x:c r="D40" s="42" t="str">
        <x:v>Deploy FMs based on specific application needs and performance requirements</x:v>
      </x:c>
      <x:c r="E40" s="63" t="n">
        <x:f>COUNTIF('Skill-Topic Map'!$A$5:$A$230,A40)</x:f>
        <x:v>3</x:v>
      </x:c>
      <x:c r="F40" s="63" t="str">
        <x:f>IF(E40&gt;0,"Covered","Missing")</x:f>
        <x:v>Covered</x:v>
      </x:c>
      <x:c r="G40" s="43" t="str">
        <x:v>https://docs.aws.amazon.com/aws-certification/latest/ai-professional-01/ai-professional-01-domain2.html</x:v>
      </x:c>
    </x:row>
    <x:row r="41" ht="38" customHeight="1">
      <x:c r="A41" s="57" t="str">
        <x:v>2.2.2</x:v>
      </x:c>
      <x:c r="B41" s="63" t="str">
        <x:v>2.2</x:v>
      </x:c>
      <x:c r="C41" s="42" t="str">
        <x:v>Implement model deployment strategies</x:v>
      </x:c>
      <x:c r="D41" s="42" t="str">
        <x:v>Deploy FM solutions by addressing unique challenges of large language models (LLMs) that differ from traditional ML deployments</x:v>
      </x:c>
      <x:c r="E41" s="63" t="n">
        <x:f>COUNTIF('Skill-Topic Map'!$A$5:$A$230,A41)</x:f>
        <x:v>1</x:v>
      </x:c>
      <x:c r="F41" s="63" t="str">
        <x:f>IF(E41&gt;0,"Covered","Missing")</x:f>
        <x:v>Covered</x:v>
      </x:c>
      <x:c r="G41" s="43" t="str">
        <x:v>https://docs.aws.amazon.com/aws-certification/latest/ai-professional-01/ai-professional-01-domain2.html</x:v>
      </x:c>
    </x:row>
    <x:row r="42" ht="38" customHeight="1">
      <x:c r="A42" s="57" t="str">
        <x:v>2.2.3</x:v>
      </x:c>
      <x:c r="B42" s="63" t="str">
        <x:v>2.2</x:v>
      </x:c>
      <x:c r="C42" s="42" t="str">
        <x:v>Implement model deployment strategies</x:v>
      </x:c>
      <x:c r="D42" s="42" t="str">
        <x:v>Develop optimized FM deployment approaches to balance performance and resource requirements for GenAI workloads</x:v>
      </x:c>
      <x:c r="E42" s="63" t="n">
        <x:f>COUNTIF('Skill-Topic Map'!$A$5:$A$230,A42)</x:f>
        <x:v>4</x:v>
      </x:c>
      <x:c r="F42" s="63" t="str">
        <x:f>IF(E42&gt;0,"Covered","Missing")</x:f>
        <x:v>Covered</x:v>
      </x:c>
      <x:c r="G42" s="43" t="str">
        <x:v>https://docs.aws.amazon.com/aws-certification/latest/ai-professional-01/ai-professional-01-domain2.html</x:v>
      </x:c>
    </x:row>
    <x:row r="43" ht="38" customHeight="1">
      <x:c r="A43" s="57" t="str">
        <x:v>2.3.1</x:v>
      </x:c>
      <x:c r="B43" s="63" t="str">
        <x:v>2.3</x:v>
      </x:c>
      <x:c r="C43" s="42" t="str">
        <x:v>Design and implement enterprise integration architectures</x:v>
      </x:c>
      <x:c r="D43" s="42" t="str">
        <x:v>Create enterprise connectivity solutions to seamlessly incorporate FM capabilities into existing enterprise environments</x:v>
      </x:c>
      <x:c r="E43" s="63" t="n">
        <x:f>COUNTIF('Skill-Topic Map'!$A$5:$A$230,A43)</x:f>
        <x:v>4</x:v>
      </x:c>
      <x:c r="F43" s="63" t="str">
        <x:f>IF(E43&gt;0,"Covered","Missing")</x:f>
        <x:v>Covered</x:v>
      </x:c>
      <x:c r="G43" s="43" t="str">
        <x:v>https://docs.aws.amazon.com/aws-certification/latest/ai-professional-01/ai-professional-01-domain2.html</x:v>
      </x:c>
    </x:row>
    <x:row r="44" ht="38" customHeight="1">
      <x:c r="A44" s="57" t="str">
        <x:v>2.3.2</x:v>
      </x:c>
      <x:c r="B44" s="63" t="str">
        <x:v>2.3</x:v>
      </x:c>
      <x:c r="C44" s="42" t="str">
        <x:v>Design and implement enterprise integration architectures</x:v>
      </x:c>
      <x:c r="D44" s="42" t="str">
        <x:v>Develop integrated AI capabilities to enhance existing applications with GenAI functionality</x:v>
      </x:c>
      <x:c r="E44" s="63" t="n">
        <x:f>COUNTIF('Skill-Topic Map'!$A$5:$A$230,A44)</x:f>
        <x:v>3</x:v>
      </x:c>
      <x:c r="F44" s="63" t="str">
        <x:f>IF(E44&gt;0,"Covered","Missing")</x:f>
        <x:v>Covered</x:v>
      </x:c>
      <x:c r="G44" s="43" t="str">
        <x:v>https://docs.aws.amazon.com/aws-certification/latest/ai-professional-01/ai-professional-01-domain2.html</x:v>
      </x:c>
    </x:row>
    <x:row r="45" ht="38" customHeight="1">
      <x:c r="A45" s="57" t="str">
        <x:v>2.3.3</x:v>
      </x:c>
      <x:c r="B45" s="63" t="str">
        <x:v>2.3</x:v>
      </x:c>
      <x:c r="C45" s="42" t="str">
        <x:v>Design and implement enterprise integration architectures</x:v>
      </x:c>
      <x:c r="D45" s="42" t="str">
        <x:v>Create secure access frameworks to ensure appropriate security controls</x:v>
      </x:c>
      <x:c r="E45" s="63" t="n">
        <x:f>COUNTIF('Skill-Topic Map'!$A$5:$A$230,A45)</x:f>
        <x:v>4</x:v>
      </x:c>
      <x:c r="F45" s="63" t="str">
        <x:f>IF(E45&gt;0,"Covered","Missing")</x:f>
        <x:v>Covered</x:v>
      </x:c>
      <x:c r="G45" s="43" t="str">
        <x:v>https://docs.aws.amazon.com/aws-certification/latest/ai-professional-01/ai-professional-01-domain2.html</x:v>
      </x:c>
    </x:row>
    <x:row r="46" ht="38" customHeight="1">
      <x:c r="A46" s="57" t="str">
        <x:v>2.3.4</x:v>
      </x:c>
      <x:c r="B46" s="63" t="str">
        <x:v>2.3</x:v>
      </x:c>
      <x:c r="C46" s="42" t="str">
        <x:v>Design and implement enterprise integration architectures</x:v>
      </x:c>
      <x:c r="D46" s="42" t="str">
        <x:v>Develop cross-environment AI solutions to ensure data compliance across jurisdictions while enabling FM access</x:v>
      </x:c>
      <x:c r="E46" s="63" t="n">
        <x:f>COUNTIF('Skill-Topic Map'!$A$5:$A$230,A46)</x:f>
        <x:v>2</x:v>
      </x:c>
      <x:c r="F46" s="63" t="str">
        <x:f>IF(E46&gt;0,"Covered","Missing")</x:f>
        <x:v>Covered</x:v>
      </x:c>
      <x:c r="G46" s="43" t="str">
        <x:v>https://docs.aws.amazon.com/aws-certification/latest/ai-professional-01/ai-professional-01-domain2.html</x:v>
      </x:c>
    </x:row>
    <x:row r="47" ht="38" customHeight="1">
      <x:c r="A47" s="57" t="str">
        <x:v>2.3.5</x:v>
      </x:c>
      <x:c r="B47" s="63" t="str">
        <x:v>2.3</x:v>
      </x:c>
      <x:c r="C47" s="42" t="str">
        <x:v>Design and implement enterprise integration architectures</x:v>
      </x:c>
      <x:c r="D47" s="42" t="str">
        <x:v>Implement CI/CD pipelines and GenAI gateway architectures to implement secure and compliant consumption patterns in enterprise environments</x:v>
      </x:c>
      <x:c r="E47" s="63" t="n">
        <x:f>COUNTIF('Skill-Topic Map'!$A$5:$A$230,A47)</x:f>
        <x:v>6</x:v>
      </x:c>
      <x:c r="F47" s="63" t="str">
        <x:f>IF(E47&gt;0,"Covered","Missing")</x:f>
        <x:v>Covered</x:v>
      </x:c>
      <x:c r="G47" s="43" t="str">
        <x:v>https://docs.aws.amazon.com/aws-certification/latest/ai-professional-01/ai-professional-01-domain2.html</x:v>
      </x:c>
    </x:row>
    <x:row r="48" ht="38" customHeight="1">
      <x:c r="A48" s="57" t="str">
        <x:v>2.4.1</x:v>
      </x:c>
      <x:c r="B48" s="63" t="str">
        <x:v>2.4</x:v>
      </x:c>
      <x:c r="C48" s="42" t="str">
        <x:v>Implement FM API integrations</x:v>
      </x:c>
      <x:c r="D48" s="42" t="str">
        <x:v>Create flexible model interaction systems</x:v>
      </x:c>
      <x:c r="E48" s="63" t="n">
        <x:f>COUNTIF('Skill-Topic Map'!$A$5:$A$230,A48)</x:f>
        <x:v>4</x:v>
      </x:c>
      <x:c r="F48" s="63" t="str">
        <x:f>IF(E48&gt;0,"Covered","Missing")</x:f>
        <x:v>Covered</x:v>
      </x:c>
      <x:c r="G48" s="43" t="str">
        <x:v>https://docs.aws.amazon.com/aws-certification/latest/ai-professional-01/ai-professional-01-domain2.html</x:v>
      </x:c>
    </x:row>
    <x:row r="49" ht="38" customHeight="1">
      <x:c r="A49" s="57" t="str">
        <x:v>2.4.2</x:v>
      </x:c>
      <x:c r="B49" s="63" t="str">
        <x:v>2.4</x:v>
      </x:c>
      <x:c r="C49" s="42" t="str">
        <x:v>Implement FM API integrations</x:v>
      </x:c>
      <x:c r="D49" s="42" t="str">
        <x:v>Develop real-time AI interaction systems to provide immediate feedback from FM</x:v>
      </x:c>
      <x:c r="E49" s="63" t="n">
        <x:f>COUNTIF('Skill-Topic Map'!$A$5:$A$230,A49)</x:f>
        <x:v>1</x:v>
      </x:c>
      <x:c r="F49" s="63" t="str">
        <x:f>IF(E49&gt;0,"Covered","Missing")</x:f>
        <x:v>Covered</x:v>
      </x:c>
      <x:c r="G49" s="43" t="str">
        <x:v>https://docs.aws.amazon.com/aws-certification/latest/ai-professional-01/ai-professional-01-domain2.html</x:v>
      </x:c>
    </x:row>
    <x:row r="50" ht="38" customHeight="1">
      <x:c r="A50" s="57" t="str">
        <x:v>2.4.3</x:v>
      </x:c>
      <x:c r="B50" s="63" t="str">
        <x:v>2.4</x:v>
      </x:c>
      <x:c r="C50" s="42" t="str">
        <x:v>Implement FM API integrations</x:v>
      </x:c>
      <x:c r="D50" s="42" t="str">
        <x:v>Create resilient FM systems to ensure reliable operations</x:v>
      </x:c>
      <x:c r="E50" s="63" t="n">
        <x:f>COUNTIF('Skill-Topic Map'!$A$5:$A$230,A50)</x:f>
        <x:v>3</x:v>
      </x:c>
      <x:c r="F50" s="63" t="str">
        <x:f>IF(E50&gt;0,"Covered","Missing")</x:f>
        <x:v>Covered</x:v>
      </x:c>
      <x:c r="G50" s="43" t="str">
        <x:v>https://docs.aws.amazon.com/aws-certification/latest/ai-professional-01/ai-professional-01-domain2.html</x:v>
      </x:c>
    </x:row>
    <x:row r="51" ht="38" customHeight="1">
      <x:c r="A51" s="57" t="str">
        <x:v>2.4.4</x:v>
      </x:c>
      <x:c r="B51" s="63" t="str">
        <x:v>2.4</x:v>
      </x:c>
      <x:c r="C51" s="42" t="str">
        <x:v>Implement FM API integrations</x:v>
      </x:c>
      <x:c r="D51" s="42" t="str">
        <x:v>Develop intelligent model routing systems to optimize model selection</x:v>
      </x:c>
      <x:c r="E51" s="63" t="n">
        <x:f>COUNTIF('Skill-Topic Map'!$A$5:$A$230,A51)</x:f>
        <x:v>1</x:v>
      </x:c>
      <x:c r="F51" s="63" t="str">
        <x:f>IF(E51&gt;0,"Covered","Missing")</x:f>
        <x:v>Covered</x:v>
      </x:c>
      <x:c r="G51" s="43" t="str">
        <x:v>https://docs.aws.amazon.com/aws-certification/latest/ai-professional-01/ai-professional-01-domain2.html</x:v>
      </x:c>
    </x:row>
    <x:row r="52" ht="38" customHeight="1">
      <x:c r="A52" s="57" t="str">
        <x:v>2.5.1</x:v>
      </x:c>
      <x:c r="B52" s="63" t="str">
        <x:v>2.5</x:v>
      </x:c>
      <x:c r="C52" s="42" t="str">
        <x:v>Implement application integration patterns and development tools</x:v>
      </x:c>
      <x:c r="D52" s="42" t="str">
        <x:v>Create FM API interfaces to address the specific requirements of GenAI workloads</x:v>
      </x:c>
      <x:c r="E52" s="63" t="n">
        <x:f>COUNTIF('Skill-Topic Map'!$A$5:$A$230,A52)</x:f>
        <x:v>4</x:v>
      </x:c>
      <x:c r="F52" s="63" t="str">
        <x:f>IF(E52&gt;0,"Covered","Missing")</x:f>
        <x:v>Covered</x:v>
      </x:c>
      <x:c r="G52" s="43" t="str">
        <x:v>https://docs.aws.amazon.com/aws-certification/latest/ai-professional-01/ai-professional-01-domain2.html</x:v>
      </x:c>
    </x:row>
    <x:row r="53" ht="38" customHeight="1">
      <x:c r="A53" s="57" t="str">
        <x:v>2.5.2</x:v>
      </x:c>
      <x:c r="B53" s="63" t="str">
        <x:v>2.5</x:v>
      </x:c>
      <x:c r="C53" s="42" t="str">
        <x:v>Implement application integration patterns and development tools</x:v>
      </x:c>
      <x:c r="D53" s="42" t="str">
        <x:v>Develop accessible AI interfaces to accelerate adoption and integration of FMs</x:v>
      </x:c>
      <x:c r="E53" s="63" t="n">
        <x:f>COUNTIF('Skill-Topic Map'!$A$5:$A$230,A53)</x:f>
        <x:v>1</x:v>
      </x:c>
      <x:c r="F53" s="63" t="str">
        <x:f>IF(E53&gt;0,"Covered","Missing")</x:f>
        <x:v>Covered</x:v>
      </x:c>
      <x:c r="G53" s="43" t="str">
        <x:v>https://docs.aws.amazon.com/aws-certification/latest/ai-professional-01/ai-professional-01-domain2.html</x:v>
      </x:c>
    </x:row>
    <x:row r="54" ht="38" customHeight="1">
      <x:c r="A54" s="57" t="str">
        <x:v>2.5.3</x:v>
      </x:c>
      <x:c r="B54" s="63" t="str">
        <x:v>2.5</x:v>
      </x:c>
      <x:c r="C54" s="42" t="str">
        <x:v>Implement application integration patterns and development tools</x:v>
      </x:c>
      <x:c r="D54" s="42" t="str">
        <x:v>Create business system enhancements</x:v>
      </x:c>
      <x:c r="E54" s="63" t="n">
        <x:f>COUNTIF('Skill-Topic Map'!$A$5:$A$230,A54)</x:f>
        <x:v>1</x:v>
      </x:c>
      <x:c r="F54" s="63" t="str">
        <x:f>IF(E54&gt;0,"Covered","Missing")</x:f>
        <x:v>Covered</x:v>
      </x:c>
      <x:c r="G54" s="43" t="str">
        <x:v>https://docs.aws.amazon.com/aws-certification/latest/ai-professional-01/ai-professional-01-domain2.html</x:v>
      </x:c>
    </x:row>
    <x:row r="55" ht="38" customHeight="1">
      <x:c r="A55" s="57" t="str">
        <x:v>2.5.4</x:v>
      </x:c>
      <x:c r="B55" s="63" t="str">
        <x:v>2.5</x:v>
      </x:c>
      <x:c r="C55" s="42" t="str">
        <x:v>Implement application integration patterns and development tools</x:v>
      </x:c>
      <x:c r="D55" s="42" t="str">
        <x:v>Enhance developer productivity to accelerate development workflows for GenAI applications</x:v>
      </x:c>
      <x:c r="E55" s="63" t="n">
        <x:f>COUNTIF('Skill-Topic Map'!$A$5:$A$230,A55)</x:f>
        <x:v>1</x:v>
      </x:c>
      <x:c r="F55" s="63" t="str">
        <x:f>IF(E55&gt;0,"Covered","Missing")</x:f>
        <x:v>Covered</x:v>
      </x:c>
      <x:c r="G55" s="43" t="str">
        <x:v>https://docs.aws.amazon.com/aws-certification/latest/ai-professional-01/ai-professional-01-domain2.html</x:v>
      </x:c>
    </x:row>
    <x:row r="56" ht="38" customHeight="1">
      <x:c r="A56" s="57" t="str">
        <x:v>2.5.5</x:v>
      </x:c>
      <x:c r="B56" s="63" t="str">
        <x:v>2.5</x:v>
      </x:c>
      <x:c r="C56" s="42" t="str">
        <x:v>Implement application integration patterns and development tools</x:v>
      </x:c>
      <x:c r="D56" s="42" t="str">
        <x:v>Develop advanced GenAI applications to implement sophisticated AI capabilities</x:v>
      </x:c>
      <x:c r="E56" s="63" t="n">
        <x:f>COUNTIF('Skill-Topic Map'!$A$5:$A$230,A56)</x:f>
        <x:v>2</x:v>
      </x:c>
      <x:c r="F56" s="63" t="str">
        <x:f>IF(E56&gt;0,"Covered","Missing")</x:f>
        <x:v>Covered</x:v>
      </x:c>
      <x:c r="G56" s="43" t="str">
        <x:v>https://docs.aws.amazon.com/aws-certification/latest/ai-professional-01/ai-professional-01-domain2.html</x:v>
      </x:c>
    </x:row>
    <x:row r="57" ht="38" customHeight="1">
      <x:c r="A57" s="57" t="str">
        <x:v>2.5.6</x:v>
      </x:c>
      <x:c r="B57" s="63" t="str">
        <x:v>2.5</x:v>
      </x:c>
      <x:c r="C57" s="42" t="str">
        <x:v>Implement application integration patterns and development tools</x:v>
      </x:c>
      <x:c r="D57" s="42" t="str">
        <x:v>Improve troubleshooting efficiency for FM applications</x:v>
      </x:c>
      <x:c r="E57" s="63" t="n">
        <x:f>COUNTIF('Skill-Topic Map'!$A$5:$A$230,A57)</x:f>
        <x:v>4</x:v>
      </x:c>
      <x:c r="F57" s="63" t="str">
        <x:f>IF(E57&gt;0,"Covered","Missing")</x:f>
        <x:v>Covered</x:v>
      </x:c>
      <x:c r="G57" s="43" t="str">
        <x:v>https://docs.aws.amazon.com/aws-certification/latest/ai-professional-01/ai-professional-01-domain2.html</x:v>
      </x:c>
    </x:row>
    <x:row r="58" ht="38" customHeight="1">
      <x:c r="A58" s="57" t="str">
        <x:v>3.1.1</x:v>
      </x:c>
      <x:c r="B58" s="63" t="str">
        <x:v>3.1</x:v>
      </x:c>
      <x:c r="C58" s="42" t="str">
        <x:v>Implement input and output safety controls</x:v>
      </x:c>
      <x:c r="D58" s="42" t="str">
        <x:v>Develop comprehensive content safety systems to protect against harmful user inputs to FMs</x:v>
      </x:c>
      <x:c r="E58" s="63" t="n">
        <x:f>COUNTIF('Skill-Topic Map'!$A$5:$A$230,A58)</x:f>
        <x:v>1</x:v>
      </x:c>
      <x:c r="F58" s="63" t="str">
        <x:f>IF(E58&gt;0,"Covered","Missing")</x:f>
        <x:v>Covered</x:v>
      </x:c>
      <x:c r="G58" s="43" t="str">
        <x:v>https://docs.aws.amazon.com/aws-certification/latest/ai-professional-01/ai-professional-01-domain3.html</x:v>
      </x:c>
    </x:row>
    <x:row r="59" ht="38" customHeight="1">
      <x:c r="A59" s="57" t="str">
        <x:v>3.1.2</x:v>
      </x:c>
      <x:c r="B59" s="63" t="str">
        <x:v>3.1</x:v>
      </x:c>
      <x:c r="C59" s="42" t="str">
        <x:v>Implement input and output safety controls</x:v>
      </x:c>
      <x:c r="D59" s="42" t="str">
        <x:v>Create content safety frameworks to prevent harmful outputs</x:v>
      </x:c>
      <x:c r="E59" s="63" t="n">
        <x:f>COUNTIF('Skill-Topic Map'!$A$5:$A$230,A59)</x:f>
        <x:v>2</x:v>
      </x:c>
      <x:c r="F59" s="63" t="str">
        <x:f>IF(E59&gt;0,"Covered","Missing")</x:f>
        <x:v>Covered</x:v>
      </x:c>
      <x:c r="G59" s="43" t="str">
        <x:v>https://docs.aws.amazon.com/aws-certification/latest/ai-professional-01/ai-professional-01-domain3.html</x:v>
      </x:c>
    </x:row>
    <x:row r="60" ht="38" customHeight="1">
      <x:c r="A60" s="57" t="str">
        <x:v>3.1.3</x:v>
      </x:c>
      <x:c r="B60" s="63" t="str">
        <x:v>3.1</x:v>
      </x:c>
      <x:c r="C60" s="42" t="str">
        <x:v>Implement input and output safety controls</x:v>
      </x:c>
      <x:c r="D60" s="42" t="str">
        <x:v>Develop accuracy verification systems to reduce hallucinations in FM responses</x:v>
      </x:c>
      <x:c r="E60" s="63" t="n">
        <x:f>COUNTIF('Skill-Topic Map'!$A$5:$A$230,A60)</x:f>
        <x:v>2</x:v>
      </x:c>
      <x:c r="F60" s="63" t="str">
        <x:f>IF(E60&gt;0,"Covered","Missing")</x:f>
        <x:v>Covered</x:v>
      </x:c>
      <x:c r="G60" s="43" t="str">
        <x:v>https://docs.aws.amazon.com/aws-certification/latest/ai-professional-01/ai-professional-01-domain3.html</x:v>
      </x:c>
    </x:row>
    <x:row r="61" ht="38" customHeight="1">
      <x:c r="A61" s="57" t="str">
        <x:v>3.1.4</x:v>
      </x:c>
      <x:c r="B61" s="63" t="str">
        <x:v>3.1</x:v>
      </x:c>
      <x:c r="C61" s="42" t="str">
        <x:v>Implement input and output safety controls</x:v>
      </x:c>
      <x:c r="D61" s="42" t="str">
        <x:v>Create defense-in-depth safety systems to provide comprehensive protection against FM misuse</x:v>
      </x:c>
      <x:c r="E61" s="63" t="n">
        <x:f>COUNTIF('Skill-Topic Map'!$A$5:$A$230,A61)</x:f>
        <x:v>1</x:v>
      </x:c>
      <x:c r="F61" s="63" t="str">
        <x:f>IF(E61&gt;0,"Covered","Missing")</x:f>
        <x:v>Covered</x:v>
      </x:c>
      <x:c r="G61" s="43" t="str">
        <x:v>https://docs.aws.amazon.com/aws-certification/latest/ai-professional-01/ai-professional-01-domain3.html</x:v>
      </x:c>
    </x:row>
    <x:row r="62" ht="38" customHeight="1">
      <x:c r="A62" s="57" t="str">
        <x:v>3.1.5</x:v>
      </x:c>
      <x:c r="B62" s="63" t="str">
        <x:v>3.1</x:v>
      </x:c>
      <x:c r="C62" s="42" t="str">
        <x:v>Implement input and output safety controls</x:v>
      </x:c>
      <x:c r="D62" s="42" t="str">
        <x:v>Implement advanced threat detection to protect against adversarial inputs and security vulnerabilities</x:v>
      </x:c>
      <x:c r="E62" s="63" t="n">
        <x:f>COUNTIF('Skill-Topic Map'!$A$5:$A$230,A62)</x:f>
        <x:v>2</x:v>
      </x:c>
      <x:c r="F62" s="63" t="str">
        <x:f>IF(E62&gt;0,"Covered","Missing")</x:f>
        <x:v>Covered</x:v>
      </x:c>
      <x:c r="G62" s="43" t="str">
        <x:v>https://docs.aws.amazon.com/aws-certification/latest/ai-professional-01/ai-professional-01-domain3.html</x:v>
      </x:c>
    </x:row>
    <x:row r="63" ht="38" customHeight="1">
      <x:c r="A63" s="57" t="str">
        <x:v>3.2.1</x:v>
      </x:c>
      <x:c r="B63" s="63" t="str">
        <x:v>3.2</x:v>
      </x:c>
      <x:c r="C63" s="42" t="str">
        <x:v>Implement data security and privacy controls</x:v>
      </x:c>
      <x:c r="D63" s="42" t="str">
        <x:v>Develop protected AI environments to ensure comprehensive security for FM deployments</x:v>
      </x:c>
      <x:c r="E63" s="63" t="n">
        <x:f>COUNTIF('Skill-Topic Map'!$A$5:$A$230,A63)</x:f>
        <x:v>3</x:v>
      </x:c>
      <x:c r="F63" s="63" t="str">
        <x:f>IF(E63&gt;0,"Covered","Missing")</x:f>
        <x:v>Covered</x:v>
      </x:c>
      <x:c r="G63" s="43" t="str">
        <x:v>https://docs.aws.amazon.com/aws-certification/latest/ai-professional-01/ai-professional-01-domain3.html</x:v>
      </x:c>
    </x:row>
    <x:row r="64" ht="38" customHeight="1">
      <x:c r="A64" s="57" t="str">
        <x:v>3.2.2</x:v>
      </x:c>
      <x:c r="B64" s="63" t="str">
        <x:v>3.2</x:v>
      </x:c>
      <x:c r="C64" s="42" t="str">
        <x:v>Implement data security and privacy controls</x:v>
      </x:c>
      <x:c r="D64" s="42" t="str">
        <x:v>Develop privacy-preserving systems to protect sensitive information during FM interactions</x:v>
      </x:c>
      <x:c r="E64" s="63" t="n">
        <x:f>COUNTIF('Skill-Topic Map'!$A$5:$A$230,A64)</x:f>
        <x:v>3</x:v>
      </x:c>
      <x:c r="F64" s="63" t="str">
        <x:f>IF(E64&gt;0,"Covered","Missing")</x:f>
        <x:v>Covered</x:v>
      </x:c>
      <x:c r="G64" s="43" t="str">
        <x:v>https://docs.aws.amazon.com/aws-certification/latest/ai-professional-01/ai-professional-01-domain3.html</x:v>
      </x:c>
    </x:row>
    <x:row r="65" ht="38" customHeight="1">
      <x:c r="A65" s="57" t="str">
        <x:v>3.2.3</x:v>
      </x:c>
      <x:c r="B65" s="63" t="str">
        <x:v>3.2</x:v>
      </x:c>
      <x:c r="C65" s="42" t="str">
        <x:v>Implement data security and privacy controls</x:v>
      </x:c>
      <x:c r="D65" s="42" t="str">
        <x:v>Create privacy-focused AI systems to protect user privacy while maintaining FM utility and effectiveness</x:v>
      </x:c>
      <x:c r="E65" s="63" t="n">
        <x:f>COUNTIF('Skill-Topic Map'!$A$5:$A$230,A65)</x:f>
        <x:v>1</x:v>
      </x:c>
      <x:c r="F65" s="63" t="str">
        <x:f>IF(E65&gt;0,"Covered","Missing")</x:f>
        <x:v>Covered</x:v>
      </x:c>
      <x:c r="G65" s="43" t="str">
        <x:v>https://docs.aws.amazon.com/aws-certification/latest/ai-professional-01/ai-professional-01-domain3.html</x:v>
      </x:c>
    </x:row>
    <x:row r="66" ht="38" customHeight="1">
      <x:c r="A66" s="57" t="str">
        <x:v>3.3.1</x:v>
      </x:c>
      <x:c r="B66" s="63" t="str">
        <x:v>3.3</x:v>
      </x:c>
      <x:c r="C66" s="42" t="str">
        <x:v>Implement AI governance and compliance mechanisms</x:v>
      </x:c>
      <x:c r="D66" s="42" t="str">
        <x:v>Develop compliance frameworks to ensure regulatory compliance for FM deployments</x:v>
      </x:c>
      <x:c r="E66" s="63" t="n">
        <x:f>COUNTIF('Skill-Topic Map'!$A$5:$A$230,A66)</x:f>
        <x:v>3</x:v>
      </x:c>
      <x:c r="F66" s="63" t="str">
        <x:f>IF(E66&gt;0,"Covered","Missing")</x:f>
        <x:v>Covered</x:v>
      </x:c>
      <x:c r="G66" s="43" t="str">
        <x:v>https://docs.aws.amazon.com/aws-certification/latest/ai-professional-01/ai-professional-01-domain3.html</x:v>
      </x:c>
    </x:row>
    <x:row r="67" ht="38" customHeight="1">
      <x:c r="A67" s="57" t="str">
        <x:v>3.3.2</x:v>
      </x:c>
      <x:c r="B67" s="63" t="str">
        <x:v>3.3</x:v>
      </x:c>
      <x:c r="C67" s="42" t="str">
        <x:v>Implement AI governance and compliance mechanisms</x:v>
      </x:c>
      <x:c r="D67" s="42" t="str">
        <x:v>Implement data source tracking to maintain traceability in GenAI applications</x:v>
      </x:c>
      <x:c r="E67" s="63" t="n">
        <x:f>COUNTIF('Skill-Topic Map'!$A$5:$A$230,A67)</x:f>
        <x:v>2</x:v>
      </x:c>
      <x:c r="F67" s="63" t="str">
        <x:f>IF(E67&gt;0,"Covered","Missing")</x:f>
        <x:v>Covered</x:v>
      </x:c>
      <x:c r="G67" s="43" t="str">
        <x:v>https://docs.aws.amazon.com/aws-certification/latest/ai-professional-01/ai-professional-01-domain3.html</x:v>
      </x:c>
    </x:row>
    <x:row r="68" ht="38" customHeight="1">
      <x:c r="A68" s="57" t="str">
        <x:v>3.3.3</x:v>
      </x:c>
      <x:c r="B68" s="63" t="str">
        <x:v>3.3</x:v>
      </x:c>
      <x:c r="C68" s="42" t="str">
        <x:v>Implement AI governance and compliance mechanisms</x:v>
      </x:c>
      <x:c r="D68" s="42" t="str">
        <x:v>Create organizational governance systems to ensure consistent oversight of FM implementations</x:v>
      </x:c>
      <x:c r="E68" s="63" t="n">
        <x:f>COUNTIF('Skill-Topic Map'!$A$5:$A$230,A68)</x:f>
        <x:v>3</x:v>
      </x:c>
      <x:c r="F68" s="63" t="str">
        <x:f>IF(E68&gt;0,"Covered","Missing")</x:f>
        <x:v>Covered</x:v>
      </x:c>
      <x:c r="G68" s="43" t="str">
        <x:v>https://docs.aws.amazon.com/aws-certification/latest/ai-professional-01/ai-professional-01-domain3.html</x:v>
      </x:c>
    </x:row>
    <x:row r="69" ht="38" customHeight="1">
      <x:c r="A69" s="57" t="str">
        <x:v>3.3.4</x:v>
      </x:c>
      <x:c r="B69" s="63" t="str">
        <x:v>3.3</x:v>
      </x:c>
      <x:c r="C69" s="42" t="str">
        <x:v>Implement AI governance and compliance mechanisms</x:v>
      </x:c>
      <x:c r="D69" s="42" t="str">
        <x:v>Implement continuous monitoring and advanced governance controls to support safety audits and regulatory readiness</x:v>
      </x:c>
      <x:c r="E69" s="63" t="n">
        <x:f>COUNTIF('Skill-Topic Map'!$A$5:$A$230,A69)</x:f>
        <x:v>3</x:v>
      </x:c>
      <x:c r="F69" s="63" t="str">
        <x:f>IF(E69&gt;0,"Covered","Missing")</x:f>
        <x:v>Covered</x:v>
      </x:c>
      <x:c r="G69" s="43" t="str">
        <x:v>https://docs.aws.amazon.com/aws-certification/latest/ai-professional-01/ai-professional-01-domain3.html</x:v>
      </x:c>
    </x:row>
    <x:row r="70" ht="38" customHeight="1">
      <x:c r="A70" s="57" t="str">
        <x:v>3.4.1</x:v>
      </x:c>
      <x:c r="B70" s="63" t="str">
        <x:v>3.4</x:v>
      </x:c>
      <x:c r="C70" s="42" t="str">
        <x:v>Implement responsible AI principles</x:v>
      </x:c>
      <x:c r="D70" s="42" t="str">
        <x:v>Develop transparent AI systems in FM outputs</x:v>
      </x:c>
      <x:c r="E70" s="63" t="n">
        <x:f>COUNTIF('Skill-Topic Map'!$A$5:$A$230,A70)</x:f>
        <x:v>2</x:v>
      </x:c>
      <x:c r="F70" s="63" t="str">
        <x:f>IF(E70&gt;0,"Covered","Missing")</x:f>
        <x:v>Covered</x:v>
      </x:c>
      <x:c r="G70" s="43" t="str">
        <x:v>https://docs.aws.amazon.com/aws-certification/latest/ai-professional-01/ai-professional-01-domain3.html</x:v>
      </x:c>
    </x:row>
    <x:row r="71" ht="38" customHeight="1">
      <x:c r="A71" s="57" t="str">
        <x:v>3.4.2</x:v>
      </x:c>
      <x:c r="B71" s="63" t="str">
        <x:v>3.4</x:v>
      </x:c>
      <x:c r="C71" s="42" t="str">
        <x:v>Implement responsible AI principles</x:v>
      </x:c>
      <x:c r="D71" s="42" t="str">
        <x:v>Apply fairness evaluations to ensure unbiased FM outputs</x:v>
      </x:c>
      <x:c r="E71" s="63" t="n">
        <x:f>COUNTIF('Skill-Topic Map'!$A$5:$A$230,A71)</x:f>
        <x:v>1</x:v>
      </x:c>
      <x:c r="F71" s="63" t="str">
        <x:f>IF(E71&gt;0,"Covered","Missing")</x:f>
        <x:v>Covered</x:v>
      </x:c>
      <x:c r="G71" s="43" t="str">
        <x:v>https://docs.aws.amazon.com/aws-certification/latest/ai-professional-01/ai-professional-01-domain3.html</x:v>
      </x:c>
    </x:row>
    <x:row r="72" ht="38" customHeight="1">
      <x:c r="A72" s="57" t="str">
        <x:v>3.4.3</x:v>
      </x:c>
      <x:c r="B72" s="63" t="str">
        <x:v>3.4</x:v>
      </x:c>
      <x:c r="C72" s="42" t="str">
        <x:v>Implement responsible AI principles</x:v>
      </x:c>
      <x:c r="D72" s="42" t="str">
        <x:v>Develop policy-compliant AI systems to ensure adherence to responsible AI practices</x:v>
      </x:c>
      <x:c r="E72" s="63" t="n">
        <x:f>COUNTIF('Skill-Topic Map'!$A$5:$A$230,A72)</x:f>
        <x:v>4</x:v>
      </x:c>
      <x:c r="F72" s="63" t="str">
        <x:f>IF(E72&gt;0,"Covered","Missing")</x:f>
        <x:v>Covered</x:v>
      </x:c>
      <x:c r="G72" s="43" t="str">
        <x:v>https://docs.aws.amazon.com/aws-certification/latest/ai-professional-01/ai-professional-01-domain3.html</x:v>
      </x:c>
    </x:row>
    <x:row r="73" ht="38" customHeight="1">
      <x:c r="A73" s="57" t="str">
        <x:v>4.1.1</x:v>
      </x:c>
      <x:c r="B73" s="63" t="str">
        <x:v>4.1</x:v>
      </x:c>
      <x:c r="C73" s="42" t="str">
        <x:v>Implement cost optimization and resource efficiency strategies</x:v>
      </x:c>
      <x:c r="D73" s="42" t="str">
        <x:v>Develop token efficiency systems to reduce FM costs while maintaining effectiveness</x:v>
      </x:c>
      <x:c r="E73" s="63" t="n">
        <x:f>COUNTIF('Skill-Topic Map'!$A$5:$A$230,A73)</x:f>
        <x:v>3</x:v>
      </x:c>
      <x:c r="F73" s="63" t="str">
        <x:f>IF(E73&gt;0,"Covered","Missing")</x:f>
        <x:v>Covered</x:v>
      </x:c>
      <x:c r="G73" s="43" t="str">
        <x:v>https://docs.aws.amazon.com/aws-certification/latest/ai-professional-01/ai-professional-01-domain4.html</x:v>
      </x:c>
    </x:row>
    <x:row r="74" ht="38" customHeight="1">
      <x:c r="A74" s="57" t="str">
        <x:v>4.1.2</x:v>
      </x:c>
      <x:c r="B74" s="63" t="str">
        <x:v>4.1</x:v>
      </x:c>
      <x:c r="C74" s="42" t="str">
        <x:v>Implement cost optimization and resource efficiency strategies</x:v>
      </x:c>
      <x:c r="D74" s="42" t="str">
        <x:v>Create cost-effective model selection frameworks</x:v>
      </x:c>
      <x:c r="E74" s="63" t="n">
        <x:f>COUNTIF('Skill-Topic Map'!$A$5:$A$230,A74)</x:f>
        <x:v>3</x:v>
      </x:c>
      <x:c r="F74" s="63" t="str">
        <x:f>IF(E74&gt;0,"Covered","Missing")</x:f>
        <x:v>Covered</x:v>
      </x:c>
      <x:c r="G74" s="43" t="str">
        <x:v>https://docs.aws.amazon.com/aws-certification/latest/ai-professional-01/ai-professional-01-domain4.html</x:v>
      </x:c>
    </x:row>
    <x:row r="75" ht="38" customHeight="1">
      <x:c r="A75" s="57" t="str">
        <x:v>4.1.3</x:v>
      </x:c>
      <x:c r="B75" s="63" t="str">
        <x:v>4.1</x:v>
      </x:c>
      <x:c r="C75" s="42" t="str">
        <x:v>Implement cost optimization and resource efficiency strategies</x:v>
      </x:c>
      <x:c r="D75" s="42" t="str">
        <x:v>Develop high-performance FM systems to maximize resource utilization and throughput for GenAI workloads</x:v>
      </x:c>
      <x:c r="E75" s="63" t="n">
        <x:f>COUNTIF('Skill-Topic Map'!$A$5:$A$230,A75)</x:f>
        <x:v>3</x:v>
      </x:c>
      <x:c r="F75" s="63" t="str">
        <x:f>IF(E75&gt;0,"Covered","Missing")</x:f>
        <x:v>Covered</x:v>
      </x:c>
      <x:c r="G75" s="43" t="str">
        <x:v>https://docs.aws.amazon.com/aws-certification/latest/ai-professional-01/ai-professional-01-domain4.html</x:v>
      </x:c>
    </x:row>
    <x:row r="76" ht="38" customHeight="1">
      <x:c r="A76" s="57" t="str">
        <x:v>4.1.4</x:v>
      </x:c>
      <x:c r="B76" s="63" t="str">
        <x:v>4.1</x:v>
      </x:c>
      <x:c r="C76" s="42" t="str">
        <x:v>Implement cost optimization and resource efficiency strategies</x:v>
      </x:c>
      <x:c r="D76" s="42" t="str">
        <x:v>Create intelligent caching systems to reduce costs and improve response times by avoiding unnecessary FM invocations</x:v>
      </x:c>
      <x:c r="E76" s="63" t="n">
        <x:f>COUNTIF('Skill-Topic Map'!$A$5:$A$230,A76)</x:f>
        <x:v>1</x:v>
      </x:c>
      <x:c r="F76" s="63" t="str">
        <x:f>IF(E76&gt;0,"Covered","Missing")</x:f>
        <x:v>Covered</x:v>
      </x:c>
      <x:c r="G76" s="43" t="str">
        <x:v>https://docs.aws.amazon.com/aws-certification/latest/ai-professional-01/ai-professional-01-domain4.html</x:v>
      </x:c>
    </x:row>
    <x:row r="77" ht="38" customHeight="1">
      <x:c r="A77" s="57" t="str">
        <x:v>4.2.1</x:v>
      </x:c>
      <x:c r="B77" s="63" t="str">
        <x:v>4.2</x:v>
      </x:c>
      <x:c r="C77" s="42" t="str">
        <x:v>Optimize application performance</x:v>
      </x:c>
      <x:c r="D77" s="42" t="str">
        <x:v>Create responsive AI systems to address latency-cost tradeoffs and improve the user experience with FMs</x:v>
      </x:c>
      <x:c r="E77" s="63" t="n">
        <x:f>COUNTIF('Skill-Topic Map'!$A$5:$A$230,A77)</x:f>
        <x:v>3</x:v>
      </x:c>
      <x:c r="F77" s="63" t="str">
        <x:f>IF(E77&gt;0,"Covered","Missing")</x:f>
        <x:v>Covered</x:v>
      </x:c>
      <x:c r="G77" s="43" t="str">
        <x:v>https://docs.aws.amazon.com/aws-certification/latest/ai-professional-01/ai-professional-01-domain4.html</x:v>
      </x:c>
    </x:row>
    <x:row r="78" ht="38" customHeight="1">
      <x:c r="A78" s="57" t="str">
        <x:v>4.2.2</x:v>
      </x:c>
      <x:c r="B78" s="63" t="str">
        <x:v>4.2</x:v>
      </x:c>
      <x:c r="C78" s="42" t="str">
        <x:v>Optimize application performance</x:v>
      </x:c>
      <x:c r="D78" s="42" t="str">
        <x:v>Enhance retrieval performance to improve the relevance and speed of retrieved information for FM context augmentation</x:v>
      </x:c>
      <x:c r="E78" s="63" t="n">
        <x:f>COUNTIF('Skill-Topic Map'!$A$5:$A$230,A78)</x:f>
        <x:v>2</x:v>
      </x:c>
      <x:c r="F78" s="63" t="str">
        <x:f>IF(E78&gt;0,"Covered","Missing")</x:f>
        <x:v>Covered</x:v>
      </x:c>
      <x:c r="G78" s="43" t="str">
        <x:v>https://docs.aws.amazon.com/aws-certification/latest/ai-professional-01/ai-professional-01-domain4.html</x:v>
      </x:c>
    </x:row>
    <x:row r="79" ht="38" customHeight="1">
      <x:c r="A79" s="57" t="str">
        <x:v>4.2.3</x:v>
      </x:c>
      <x:c r="B79" s="63" t="str">
        <x:v>4.2</x:v>
      </x:c>
      <x:c r="C79" s="42" t="str">
        <x:v>Optimize application performance</x:v>
      </x:c>
      <x:c r="D79" s="42" t="str">
        <x:v>Implement FM throughput optimization to address the specific throughput challenges of GenAI workloads</x:v>
      </x:c>
      <x:c r="E79" s="63" t="n">
        <x:f>COUNTIF('Skill-Topic Map'!$A$5:$A$230,A79)</x:f>
        <x:v>3</x:v>
      </x:c>
      <x:c r="F79" s="63" t="str">
        <x:f>IF(E79&gt;0,"Covered","Missing")</x:f>
        <x:v>Covered</x:v>
      </x:c>
      <x:c r="G79" s="43" t="str">
        <x:v>https://docs.aws.amazon.com/aws-certification/latest/ai-professional-01/ai-professional-01-domain4.html</x:v>
      </x:c>
    </x:row>
    <x:row r="80" ht="38" customHeight="1">
      <x:c r="A80" s="57" t="str">
        <x:v>4.2.4</x:v>
      </x:c>
      <x:c r="B80" s="63" t="str">
        <x:v>4.2</x:v>
      </x:c>
      <x:c r="C80" s="42" t="str">
        <x:v>Optimize application performance</x:v>
      </x:c>
      <x:c r="D80" s="42" t="str">
        <x:v>Enhance FM performance to achieve optimal results for specific GenAI use cases</x:v>
      </x:c>
      <x:c r="E80" s="63" t="n">
        <x:f>COUNTIF('Skill-Topic Map'!$A$5:$A$230,A80)</x:f>
        <x:v>2</x:v>
      </x:c>
      <x:c r="F80" s="63" t="str">
        <x:f>IF(E80&gt;0,"Covered","Missing")</x:f>
        <x:v>Covered</x:v>
      </x:c>
      <x:c r="G80" s="43" t="str">
        <x:v>https://docs.aws.amazon.com/aws-certification/latest/ai-professional-01/ai-professional-01-domain4.html</x:v>
      </x:c>
    </x:row>
    <x:row r="81" ht="38" customHeight="1">
      <x:c r="A81" s="57" t="str">
        <x:v>4.2.5</x:v>
      </x:c>
      <x:c r="B81" s="63" t="str">
        <x:v>4.2</x:v>
      </x:c>
      <x:c r="C81" s="42" t="str">
        <x:v>Optimize application performance</x:v>
      </x:c>
      <x:c r="D81" s="42" t="str">
        <x:v>Create efficient resource allocation systems specifically for FM workloads</x:v>
      </x:c>
      <x:c r="E81" s="63" t="n">
        <x:f>COUNTIF('Skill-Topic Map'!$A$5:$A$230,A81)</x:f>
        <x:v>2</x:v>
      </x:c>
      <x:c r="F81" s="63" t="str">
        <x:f>IF(E81&gt;0,"Covered","Missing")</x:f>
        <x:v>Covered</x:v>
      </x:c>
      <x:c r="G81" s="43" t="str">
        <x:v>https://docs.aws.amazon.com/aws-certification/latest/ai-professional-01/ai-professional-01-domain4.html</x:v>
      </x:c>
    </x:row>
    <x:row r="82" ht="38" customHeight="1">
      <x:c r="A82" s="57" t="str">
        <x:v>4.2.6</x:v>
      </x:c>
      <x:c r="B82" s="63" t="str">
        <x:v>4.2</x:v>
      </x:c>
      <x:c r="C82" s="42" t="str">
        <x:v>Optimize application performance</x:v>
      </x:c>
      <x:c r="D82" s="42" t="str">
        <x:v>Optimize FM system performance for GenAI workflows</x:v>
      </x:c>
      <x:c r="E82" s="63" t="n">
        <x:f>COUNTIF('Skill-Topic Map'!$A$5:$A$230,A82)</x:f>
        <x:v>3</x:v>
      </x:c>
      <x:c r="F82" s="63" t="str">
        <x:f>IF(E82&gt;0,"Covered","Missing")</x:f>
        <x:v>Covered</x:v>
      </x:c>
      <x:c r="G82" s="43" t="str">
        <x:v>https://docs.aws.amazon.com/aws-certification/latest/ai-professional-01/ai-professional-01-domain4.html</x:v>
      </x:c>
    </x:row>
    <x:row r="83" ht="38" customHeight="1">
      <x:c r="A83" s="57" t="str">
        <x:v>4.3.1</x:v>
      </x:c>
      <x:c r="B83" s="63" t="str">
        <x:v>4.3</x:v>
      </x:c>
      <x:c r="C83" s="42" t="str">
        <x:v>Implement monitoring systems for GenAI applications</x:v>
      </x:c>
      <x:c r="D83" s="42" t="str">
        <x:v>Create holistic observability systems to provide complete visibility into FM application performance</x:v>
      </x:c>
      <x:c r="E83" s="63" t="n">
        <x:f>COUNTIF('Skill-Topic Map'!$A$5:$A$230,A83)</x:f>
        <x:v>3</x:v>
      </x:c>
      <x:c r="F83" s="63" t="str">
        <x:f>IF(E83&gt;0,"Covered","Missing")</x:f>
        <x:v>Covered</x:v>
      </x:c>
      <x:c r="G83" s="43" t="str">
        <x:v>https://docs.aws.amazon.com/aws-certification/latest/ai-professional-01/ai-professional-01-domain4.html</x:v>
      </x:c>
    </x:row>
    <x:row r="84" ht="38" customHeight="1">
      <x:c r="A84" s="57" t="str">
        <x:v>4.3.2</x:v>
      </x:c>
      <x:c r="B84" s="63" t="str">
        <x:v>4.3</x:v>
      </x:c>
      <x:c r="C84" s="42" t="str">
        <x:v>Implement monitoring systems for GenAI applications</x:v>
      </x:c>
      <x:c r="D84" s="42" t="str">
        <x:v>Implement comprehensive GenAI monitoring systems to proactively identify issues and evaluate key performance indicators specific to FM implementations</x:v>
      </x:c>
      <x:c r="E84" s="63" t="n">
        <x:f>COUNTIF('Skill-Topic Map'!$A$5:$A$230,A84)</x:f>
        <x:v>3</x:v>
      </x:c>
      <x:c r="F84" s="63" t="str">
        <x:f>IF(E84&gt;0,"Covered","Missing")</x:f>
        <x:v>Covered</x:v>
      </x:c>
      <x:c r="G84" s="43" t="str">
        <x:v>https://docs.aws.amazon.com/aws-certification/latest/ai-professional-01/ai-professional-01-domain4.html</x:v>
      </x:c>
    </x:row>
    <x:row r="85" ht="38" customHeight="1">
      <x:c r="A85" s="57" t="str">
        <x:v>4.3.3</x:v>
      </x:c>
      <x:c r="B85" s="63" t="str">
        <x:v>4.3</x:v>
      </x:c>
      <x:c r="C85" s="42" t="str">
        <x:v>Implement monitoring systems for GenAI applications</x:v>
      </x:c>
      <x:c r="D85" s="42" t="str">
        <x:v>Develop integrated observability solutions to provide actionable insights for FM applications</x:v>
      </x:c>
      <x:c r="E85" s="63" t="n">
        <x:f>COUNTIF('Skill-Topic Map'!$A$5:$A$230,A85)</x:f>
        <x:v>2</x:v>
      </x:c>
      <x:c r="F85" s="63" t="str">
        <x:f>IF(E85&gt;0,"Covered","Missing")</x:f>
        <x:v>Covered</x:v>
      </x:c>
      <x:c r="G85" s="43" t="str">
        <x:v>https://docs.aws.amazon.com/aws-certification/latest/ai-professional-01/ai-professional-01-domain4.html</x:v>
      </x:c>
    </x:row>
    <x:row r="86" ht="38" customHeight="1">
      <x:c r="A86" s="57" t="str">
        <x:v>4.3.4</x:v>
      </x:c>
      <x:c r="B86" s="63" t="str">
        <x:v>4.3</x:v>
      </x:c>
      <x:c r="C86" s="42" t="str">
        <x:v>Implement monitoring systems for GenAI applications</x:v>
      </x:c>
      <x:c r="D86" s="42" t="str">
        <x:v>Create tool performance frameworks to ensure optimal tool operation and utilization for FMs</x:v>
      </x:c>
      <x:c r="E86" s="63" t="n">
        <x:f>COUNTIF('Skill-Topic Map'!$A$5:$A$230,A86)</x:f>
        <x:v>4</x:v>
      </x:c>
      <x:c r="F86" s="63" t="str">
        <x:f>IF(E86&gt;0,"Covered","Missing")</x:f>
        <x:v>Covered</x:v>
      </x:c>
      <x:c r="G86" s="43" t="str">
        <x:v>https://docs.aws.amazon.com/aws-certification/latest/ai-professional-01/ai-professional-01-domain4.html</x:v>
      </x:c>
    </x:row>
    <x:row r="87" ht="38" customHeight="1">
      <x:c r="A87" s="57" t="str">
        <x:v>4.3.5</x:v>
      </x:c>
      <x:c r="B87" s="63" t="str">
        <x:v>4.3</x:v>
      </x:c>
      <x:c r="C87" s="42" t="str">
        <x:v>Implement monitoring systems for GenAI applications</x:v>
      </x:c>
      <x:c r="D87" s="42" t="str">
        <x:v>Create vector store operational management systems to ensure optimal vector store operation and reliability for FM augmentation</x:v>
      </x:c>
      <x:c r="E87" s="63" t="n">
        <x:f>COUNTIF('Skill-Topic Map'!$A$5:$A$230,A87)</x:f>
        <x:v>2</x:v>
      </x:c>
      <x:c r="F87" s="63" t="str">
        <x:f>IF(E87&gt;0,"Covered","Missing")</x:f>
        <x:v>Covered</x:v>
      </x:c>
      <x:c r="G87" s="43" t="str">
        <x:v>https://docs.aws.amazon.com/aws-certification/latest/ai-professional-01/ai-professional-01-domain4.html</x:v>
      </x:c>
    </x:row>
    <x:row r="88" ht="38" customHeight="1">
      <x:c r="A88" s="57" t="str">
        <x:v>4.3.6</x:v>
      </x:c>
      <x:c r="B88" s="63" t="str">
        <x:v>4.3</x:v>
      </x:c>
      <x:c r="C88" s="42" t="str">
        <x:v>Implement monitoring systems for GenAI applications</x:v>
      </x:c>
      <x:c r="D88" s="42" t="str">
        <x:v>Develop FM-specific troubleshooting frameworks to identify unique GenAI failure modes that are not present in traditional ML systems</x:v>
      </x:c>
      <x:c r="E88" s="63" t="n">
        <x:f>COUNTIF('Skill-Topic Map'!$A$5:$A$230,A88)</x:f>
        <x:v>4</x:v>
      </x:c>
      <x:c r="F88" s="63" t="str">
        <x:f>IF(E88&gt;0,"Covered","Missing")</x:f>
        <x:v>Covered</x:v>
      </x:c>
      <x:c r="G88" s="43" t="str">
        <x:v>https://docs.aws.amazon.com/aws-certification/latest/ai-professional-01/ai-professional-01-domain4.html</x:v>
      </x:c>
    </x:row>
    <x:row r="89" ht="38" customHeight="1">
      <x:c r="A89" s="57" t="str">
        <x:v>5.1.1</x:v>
      </x:c>
      <x:c r="B89" s="63" t="str">
        <x:v>5.1</x:v>
      </x:c>
      <x:c r="C89" s="42" t="str">
        <x:v>Implement evaluation systems for GenAI</x:v>
      </x:c>
      <x:c r="D89" s="42" t="str">
        <x:v>Develop comprehensive assessment frameworks to evaluate the quality and effectiveness of FM outputs beyond traditional ML evaluation approaches</x:v>
      </x:c>
      <x:c r="E89" s="63" t="n">
        <x:f>COUNTIF('Skill-Topic Map'!$A$5:$A$230,A89)</x:f>
        <x:v>2</x:v>
      </x:c>
      <x:c r="F89" s="63" t="str">
        <x:f>IF(E89&gt;0,"Covered","Missing")</x:f>
        <x:v>Covered</x:v>
      </x:c>
      <x:c r="G89" s="43" t="str">
        <x:v>https://docs.aws.amazon.com/aws-certification/latest/ai-professional-01/ai-professional-01-domain5.html</x:v>
      </x:c>
    </x:row>
    <x:row r="90" ht="38" customHeight="1">
      <x:c r="A90" s="57" t="str">
        <x:v>5.1.2</x:v>
      </x:c>
      <x:c r="B90" s="63" t="str">
        <x:v>5.1</x:v>
      </x:c>
      <x:c r="C90" s="42" t="str">
        <x:v>Implement evaluation systems for GenAI</x:v>
      </x:c>
      <x:c r="D90" s="42" t="str">
        <x:v>Create systematic model evaluation systems to identify optimal configurations</x:v>
      </x:c>
      <x:c r="E90" s="63" t="n">
        <x:f>COUNTIF('Skill-Topic Map'!$A$5:$A$230,A90)</x:f>
        <x:v>4</x:v>
      </x:c>
      <x:c r="F90" s="63" t="str">
        <x:f>IF(E90&gt;0,"Covered","Missing")</x:f>
        <x:v>Covered</x:v>
      </x:c>
      <x:c r="G90" s="43" t="str">
        <x:v>https://docs.aws.amazon.com/aws-certification/latest/ai-professional-01/ai-professional-01-domain5.html</x:v>
      </x:c>
    </x:row>
    <x:row r="91" ht="38" customHeight="1">
      <x:c r="A91" s="57" t="str">
        <x:v>5.1.3</x:v>
      </x:c>
      <x:c r="B91" s="63" t="str">
        <x:v>5.1</x:v>
      </x:c>
      <x:c r="C91" s="42" t="str">
        <x:v>Implement evaluation systems for GenAI</x:v>
      </x:c>
      <x:c r="D91" s="42" t="str">
        <x:v>Develop user-centered evaluation mechanisms to continuously improve FM performance based on user experience</x:v>
      </x:c>
      <x:c r="E91" s="63" t="n">
        <x:f>COUNTIF('Skill-Topic Map'!$A$5:$A$230,A91)</x:f>
        <x:v>1</x:v>
      </x:c>
      <x:c r="F91" s="63" t="str">
        <x:f>IF(E91&gt;0,"Covered","Missing")</x:f>
        <x:v>Covered</x:v>
      </x:c>
      <x:c r="G91" s="43" t="str">
        <x:v>https://docs.aws.amazon.com/aws-certification/latest/ai-professional-01/ai-professional-01-domain5.html</x:v>
      </x:c>
    </x:row>
    <x:row r="92" ht="38" customHeight="1">
      <x:c r="A92" s="57" t="str">
        <x:v>5.1.4</x:v>
      </x:c>
      <x:c r="B92" s="63" t="str">
        <x:v>5.1</x:v>
      </x:c>
      <x:c r="C92" s="42" t="str">
        <x:v>Implement evaluation systems for GenAI</x:v>
      </x:c>
      <x:c r="D92" s="42" t="str">
        <x:v>Create systematic quality assurance processes to maintain consistent performance standards for FMs</x:v>
      </x:c>
      <x:c r="E92" s="63" t="n">
        <x:f>COUNTIF('Skill-Topic Map'!$A$5:$A$230,A92)</x:f>
        <x:v>4</x:v>
      </x:c>
      <x:c r="F92" s="63" t="str">
        <x:f>IF(E92&gt;0,"Covered","Missing")</x:f>
        <x:v>Covered</x:v>
      </x:c>
      <x:c r="G92" s="43" t="str">
        <x:v>https://docs.aws.amazon.com/aws-certification/latest/ai-professional-01/ai-professional-01-domain5.html</x:v>
      </x:c>
    </x:row>
    <x:row r="93" ht="38" customHeight="1">
      <x:c r="A93" s="57" t="str">
        <x:v>5.1.5</x:v>
      </x:c>
      <x:c r="B93" s="63" t="str">
        <x:v>5.1</x:v>
      </x:c>
      <x:c r="C93" s="42" t="str">
        <x:v>Implement evaluation systems for GenAI</x:v>
      </x:c>
      <x:c r="D93" s="42" t="str">
        <x:v>Develop comprehensive assessment systems to ensure thorough evaluation from multiple perspectives for FM outputs</x:v>
      </x:c>
      <x:c r="E93" s="63" t="n">
        <x:f>COUNTIF('Skill-Topic Map'!$A$5:$A$230,A93)</x:f>
        <x:v>4</x:v>
      </x:c>
      <x:c r="F93" s="63" t="str">
        <x:f>IF(E93&gt;0,"Covered","Missing")</x:f>
        <x:v>Covered</x:v>
      </x:c>
      <x:c r="G93" s="43" t="str">
        <x:v>https://docs.aws.amazon.com/aws-certification/latest/ai-professional-01/ai-professional-01-domain5.html</x:v>
      </x:c>
    </x:row>
    <x:row r="94" ht="38" customHeight="1">
      <x:c r="A94" s="57" t="str">
        <x:v>5.1.6</x:v>
      </x:c>
      <x:c r="B94" s="63" t="str">
        <x:v>5.1</x:v>
      </x:c>
      <x:c r="C94" s="42" t="str">
        <x:v>Implement evaluation systems for GenAI</x:v>
      </x:c>
      <x:c r="D94" s="42" t="str">
        <x:v>Implement retrieval quality testing to evaluate and optimize information retrieval components for FM augmentation</x:v>
      </x:c>
      <x:c r="E94" s="63" t="n">
        <x:f>COUNTIF('Skill-Topic Map'!$A$5:$A$230,A94)</x:f>
        <x:v>2</x:v>
      </x:c>
      <x:c r="F94" s="63" t="str">
        <x:f>IF(E94&gt;0,"Covered","Missing")</x:f>
        <x:v>Covered</x:v>
      </x:c>
      <x:c r="G94" s="43" t="str">
        <x:v>https://docs.aws.amazon.com/aws-certification/latest/ai-professional-01/ai-professional-01-domain5.html</x:v>
      </x:c>
    </x:row>
    <x:row r="95" ht="38" customHeight="1">
      <x:c r="A95" s="57" t="str">
        <x:v>5.1.7</x:v>
      </x:c>
      <x:c r="B95" s="63" t="str">
        <x:v>5.1</x:v>
      </x:c>
      <x:c r="C95" s="42" t="str">
        <x:v>Implement evaluation systems for GenAI</x:v>
      </x:c>
      <x:c r="D95" s="42" t="str">
        <x:v>Develop agent performance frameworks to ensure that agents perform tasks correctly and efficiently</x:v>
      </x:c>
      <x:c r="E95" s="63" t="n">
        <x:f>COUNTIF('Skill-Topic Map'!$A$5:$A$230,A95)</x:f>
        <x:v>3</x:v>
      </x:c>
      <x:c r="F95" s="63" t="str">
        <x:f>IF(E95&gt;0,"Covered","Missing")</x:f>
        <x:v>Covered</x:v>
      </x:c>
      <x:c r="G95" s="43" t="str">
        <x:v>https://docs.aws.amazon.com/aws-certification/latest/ai-professional-01/ai-professional-01-domain5.html</x:v>
      </x:c>
    </x:row>
    <x:row r="96" ht="38" customHeight="1">
      <x:c r="A96" s="57" t="str">
        <x:v>5.1.8</x:v>
      </x:c>
      <x:c r="B96" s="63" t="str">
        <x:v>5.1</x:v>
      </x:c>
      <x:c r="C96" s="42" t="str">
        <x:v>Implement evaluation systems for GenAI</x:v>
      </x:c>
      <x:c r="D96" s="42" t="str">
        <x:v>Create comprehensive reporting systems to communicate performance metrics and insights effectively to stakeholders for FM implementations</x:v>
      </x:c>
      <x:c r="E96" s="63" t="n">
        <x:f>COUNTIF('Skill-Topic Map'!$A$5:$A$230,A96)</x:f>
        <x:v>1</x:v>
      </x:c>
      <x:c r="F96" s="63" t="str">
        <x:f>IF(E96&gt;0,"Covered","Missing")</x:f>
        <x:v>Covered</x:v>
      </x:c>
      <x:c r="G96" s="43" t="str">
        <x:v>https://docs.aws.amazon.com/aws-certification/latest/ai-professional-01/ai-professional-01-domain5.html</x:v>
      </x:c>
    </x:row>
    <x:row r="97" ht="38" customHeight="1">
      <x:c r="A97" s="57" t="str">
        <x:v>5.1.9</x:v>
      </x:c>
      <x:c r="B97" s="63" t="str">
        <x:v>5.1</x:v>
      </x:c>
      <x:c r="C97" s="42" t="str">
        <x:v>Implement evaluation systems for GenAI</x:v>
      </x:c>
      <x:c r="D97" s="42" t="str">
        <x:v>Create deployment validation systems to maintain reliability during FM updates</x:v>
      </x:c>
      <x:c r="E97" s="63" t="n">
        <x:f>COUNTIF('Skill-Topic Map'!$A$5:$A$230,A97)</x:f>
        <x:v>4</x:v>
      </x:c>
      <x:c r="F97" s="63" t="str">
        <x:f>IF(E97&gt;0,"Covered","Missing")</x:f>
        <x:v>Covered</x:v>
      </x:c>
      <x:c r="G97" s="43" t="str">
        <x:v>https://docs.aws.amazon.com/aws-certification/latest/ai-professional-01/ai-professional-01-domain5.html</x:v>
      </x:c>
    </x:row>
    <x:row r="98" ht="38" customHeight="1">
      <x:c r="A98" s="57" t="str">
        <x:v>5.2.1</x:v>
      </x:c>
      <x:c r="B98" s="63" t="str">
        <x:v>5.2</x:v>
      </x:c>
      <x:c r="C98" s="42" t="str">
        <x:v>Troubleshoot GenAI applications</x:v>
      </x:c>
      <x:c r="D98" s="42" t="str">
        <x:v>Resolve content handling issues to ensure that necessary information is processed completely in FM interactions</x:v>
      </x:c>
      <x:c r="E98" s="63" t="n">
        <x:f>COUNTIF('Skill-Topic Map'!$A$5:$A$230,A98)</x:f>
        <x:v>4</x:v>
      </x:c>
      <x:c r="F98" s="63" t="str">
        <x:f>IF(E98&gt;0,"Covered","Missing")</x:f>
        <x:v>Covered</x:v>
      </x:c>
      <x:c r="G98" s="43" t="str">
        <x:v>https://docs.aws.amazon.com/aws-certification/latest/ai-professional-01/ai-professional-01-domain5.html</x:v>
      </x:c>
    </x:row>
    <x:row r="99" ht="38" customHeight="1">
      <x:c r="A99" s="57" t="str">
        <x:v>5.2.2</x:v>
      </x:c>
      <x:c r="B99" s="63" t="str">
        <x:v>5.2</x:v>
      </x:c>
      <x:c r="C99" s="42" t="str">
        <x:v>Troubleshoot GenAI applications</x:v>
      </x:c>
      <x:c r="D99" s="42" t="str">
        <x:v>Diagnose and resolve FM integration issues to identify and fix API integration problems specific to GenAI services</x:v>
      </x:c>
      <x:c r="E99" s="63" t="n">
        <x:f>COUNTIF('Skill-Topic Map'!$A$5:$A$230,A99)</x:f>
        <x:v>2</x:v>
      </x:c>
      <x:c r="F99" s="63" t="str">
        <x:f>IF(E99&gt;0,"Covered","Missing")</x:f>
        <x:v>Covered</x:v>
      </x:c>
      <x:c r="G99" s="43" t="str">
        <x:v>https://docs.aws.amazon.com/aws-certification/latest/ai-professional-01/ai-professional-01-domain5.html</x:v>
      </x:c>
    </x:row>
    <x:row r="100" ht="38" customHeight="1">
      <x:c r="A100" s="57" t="str">
        <x:v>5.2.3</x:v>
      </x:c>
      <x:c r="B100" s="63" t="str">
        <x:v>5.2</x:v>
      </x:c>
      <x:c r="C100" s="42" t="str">
        <x:v>Troubleshoot GenAI applications</x:v>
      </x:c>
      <x:c r="D100" s="42" t="str">
        <x:v>Troubleshoot prompt engineering problems to improve FM response quality and consistency beyond basic prompt adjustments</x:v>
      </x:c>
      <x:c r="E100" s="63" t="n">
        <x:f>COUNTIF('Skill-Topic Map'!$A$5:$A$230,A100)</x:f>
        <x:v>2</x:v>
      </x:c>
      <x:c r="F100" s="63" t="str">
        <x:f>IF(E100&gt;0,"Covered","Missing")</x:f>
        <x:v>Covered</x:v>
      </x:c>
      <x:c r="G100" s="43" t="str">
        <x:v>https://docs.aws.amazon.com/aws-certification/latest/ai-professional-01/ai-professional-01-domain5.html</x:v>
      </x:c>
    </x:row>
    <x:row r="101" ht="38" customHeight="1">
      <x:c r="A101" s="57" t="str">
        <x:v>5.2.4</x:v>
      </x:c>
      <x:c r="B101" s="63" t="str">
        <x:v>5.2</x:v>
      </x:c>
      <x:c r="C101" s="42" t="str">
        <x:v>Troubleshoot GenAI applications</x:v>
      </x:c>
      <x:c r="D101" s="42" t="str">
        <x:v>Troubleshoot retrieval system issues to identify and resolve problems that affect information retrieval effectiveness for FM augmentation</x:v>
      </x:c>
      <x:c r="E101" s="63" t="n">
        <x:f>COUNTIF('Skill-Topic Map'!$A$5:$A$230,A101)</x:f>
        <x:v>3</x:v>
      </x:c>
      <x:c r="F101" s="63" t="str">
        <x:f>IF(E101&gt;0,"Covered","Missing")</x:f>
        <x:v>Covered</x:v>
      </x:c>
      <x:c r="G101" s="43" t="str">
        <x:v>https://docs.aws.amazon.com/aws-certification/latest/ai-professional-01/ai-professional-01-domain5.html</x:v>
      </x:c>
    </x:row>
    <x:row r="102" ht="38" customHeight="1">
      <x:c r="A102" s="58" t="str">
        <x:v>5.2.5</x:v>
      </x:c>
      <x:c r="B102" s="64" t="str">
        <x:v>5.2</x:v>
      </x:c>
      <x:c r="C102" s="45" t="str">
        <x:v>Troubleshoot GenAI applications</x:v>
      </x:c>
      <x:c r="D102" s="45" t="str">
        <x:v>Troubleshoot prompt maintenance issues to continuously improve the performance of FM interactions</x:v>
      </x:c>
      <x:c r="E102" s="64" t="n">
        <x:f>COUNTIF('Skill-Topic Map'!$A$5:$A$230,A102)</x:f>
        <x:v>2</x:v>
      </x:c>
      <x:c r="F102" s="64" t="str">
        <x:f>IF(E102&gt;0,"Covered","Missing")</x:f>
        <x:v>Covered</x:v>
      </x:c>
      <x:c r="G102" s="46" t="str">
        <x:v>https://docs.aws.amazon.com/aws-certification/latest/ai-professional-01/ai-professional-01-domain5.html</x:v>
      </x:c>
    </x:row>
  </x:sheetData>
  <x:mergeCells>
    <x:mergeCell ref="A1:F1"/>
    <x:mergeCell ref="A2:F2"/>
  </x:mergeCells>
  <x:conditionalFormatting sqref="F5:F102">
    <x:cfRule type="expression" dxfId="7" priority="1">
      <x:formula>F5="Covered"</x:formula>
    </x:cfRule>
    <x:cfRule type="expression" dxfId="8" priority="2">
      <x:formula>F5="Missing"</x:formula>
    </x:cfRule>
  </x:conditionalFormatting>
  <x:pageMargins left="0.7" right="0.7" top="0.75" bottom="0.75" header="0.3" footer="0.3"/>
  <x:tableParts count="1">
    <x:tablePart xmlns:r="http://schemas.openxmlformats.org/officeDocument/2006/relationships" r:id="Rd70e7599c3f341fc"/>
  </x:tableParts>
</x:worksheet>
</file>

<file path=xl/worksheets/sheet3.xml><?xml version="1.0" encoding="utf-8"?>
<x:worksheet xmlns:x="http://schemas.openxmlformats.org/spreadsheetml/2006/main">
  <x:sheetFormatPr defaultRowHeight="15"/>
  <x:cols>
    <x:col min="1" max="1" width="9" hidden="0" customWidth="1"/>
    <x:col min="2" max="2" width="38" hidden="0" customWidth="1"/>
    <x:col min="3" max="3" width="12" hidden="0" customWidth="1"/>
    <x:col min="4" max="4" width="3" hidden="0" customWidth="1"/>
    <x:col min="5" max="5" width="18" hidden="0" customWidth="1"/>
    <x:col min="6" max="6" width="12" hidden="0" customWidth="1"/>
    <x:col min="7" max="7" width="3" hidden="0" customWidth="1"/>
    <x:col min="8" max="8" width="27" hidden="0" customWidth="1"/>
    <x:col min="9" max="9" width="12" hidden="0" customWidth="1"/>
    <x:col min="10" max="10" width="3" hidden="0" customWidth="1"/>
    <x:col min="11" max="11" width="13" hidden="0" customWidth="1"/>
    <x:col min="12" max="12" width="44" hidden="0" customWidth="1"/>
    <x:col min="13" max="13" width="10" hidden="0" customWidth="1"/>
  </x:cols>
  <x:sheetData>
    <x:row r="1" ht="28" customHeight="1">
      <x:c r="A1" s="5" t="str">
        <x:v>AIP-C01 Curriculum Matrix — Summary</x:v>
      </x:c>
      <x:c r="B1" s="5"/>
      <x:c r="C1" s="5"/>
      <x:c r="D1" s="5"/>
      <x:c r="E1" s="5"/>
      <x:c r="F1" s="5"/>
      <x:c r="G1" s="5"/>
      <x:c r="H1" s="5"/>
      <x:c r="I1" s="5"/>
      <x:c r="J1" s="5"/>
      <x:c r="K1" s="5"/>
      <x:c r="L1" s="5"/>
      <x:c r="M1" s="5"/>
    </x:row>
    <x:row r="2" ht="26" customHeight="1">
      <x:c r="A2" s="12" t="str">
        <x:v>Use this sheet to confirm completeness and progression structure before detailed lesson creation.</x:v>
      </x:c>
      <x:c r="B2" s="12"/>
      <x:c r="C2" s="12"/>
      <x:c r="D2" s="12"/>
      <x:c r="E2" s="12"/>
      <x:c r="F2" s="12"/>
      <x:c r="G2" s="12"/>
      <x:c r="H2" s="12"/>
      <x:c r="I2" s="12"/>
      <x:c r="J2" s="12"/>
      <x:c r="K2" s="12"/>
      <x:c r="L2" s="12"/>
      <x:c r="M2" s="12"/>
    </x:row>
    <x:row r="4" ht="34" customHeight="1">
      <x:c r="A4" s="311" t="str">
        <x:v>Total Topics</x:v>
      </x:c>
      <x:c r="B4" s="312"/>
      <x:c r="C4" s="311" t="str">
        <x:v>Official Skills Covered</x:v>
      </x:c>
      <x:c r="D4" s="312"/>
      <x:c r="E4" s="311" t="str">
        <x:v>Hard Gates</x:v>
      </x:c>
      <x:c r="F4" s="312"/>
      <x:c r="G4" s="311" t="str">
        <x:v>Soft Gates</x:v>
      </x:c>
      <x:c r="H4" s="312"/>
      <x:c r="I4" s="311" t="str">
        <x:v>Capstones</x:v>
      </x:c>
      <x:c r="J4" s="312"/>
      <x:c r="K4" s="311" t="str">
        <x:v>Coverage Gaps</x:v>
      </x:c>
      <x:c r="L4" s="312"/>
    </x:row>
    <x:row r="5">
      <x:c r="A5" s="85" t="n">
        <x:f>COUNTA('Curriculum Matrix'!$A$6:$A$138)</x:f>
        <x:v>133</x:v>
      </x:c>
      <x:c r="B5" s="86"/>
      <x:c r="C5" s="85" t="n">
        <x:f>COUNTIF('Skill Coverage'!$F$5:$F$102,"Covered")</x:f>
        <x:v>98</x:v>
      </x:c>
      <x:c r="D5" s="86"/>
      <x:c r="E5" s="85" t="n">
        <x:f>COUNTIF('Curriculum Matrix'!$L$6:$L$138,"Hard")</x:f>
        <x:v>97</x:v>
      </x:c>
      <x:c r="F5" s="86"/>
      <x:c r="G5" s="85" t="n">
        <x:f>COUNTIF('Curriculum Matrix'!$L$6:$L$138,"Soft")</x:f>
        <x:v>31</x:v>
      </x:c>
      <x:c r="H5" s="86"/>
      <x:c r="I5" s="85" t="n">
        <x:f>COUNTIF('Curriculum Matrix'!$L$6:$L$138,"Capstone")</x:f>
        <x:v>5</x:v>
      </x:c>
      <x:c r="J5" s="86"/>
      <x:c r="K5" s="85" t="n">
        <x:f>COUNTIF('Skill Coverage'!$F$5:$F$102,"Missing")</x:f>
        <x:v>0</x:v>
      </x:c>
      <x:c r="L5" s="86"/>
    </x:row>
    <x:row r="6">
      <x:c r="A6" s="87"/>
      <x:c r="B6" s="88"/>
      <x:c r="C6" s="87"/>
      <x:c r="D6" s="88"/>
      <x:c r="E6" s="87"/>
      <x:c r="F6" s="88"/>
      <x:c r="G6" s="87"/>
      <x:c r="H6" s="88"/>
      <x:c r="I6" s="87"/>
      <x:c r="J6" s="88"/>
      <x:c r="K6" s="87"/>
      <x:c r="L6" s="88"/>
    </x:row>
    <x:row r="7">
      <x:c r="A7" s="89"/>
      <x:c r="B7" s="90"/>
      <x:c r="C7" s="89"/>
      <x:c r="D7" s="90"/>
      <x:c r="E7" s="89"/>
      <x:c r="F7" s="90"/>
      <x:c r="G7" s="89"/>
      <x:c r="H7" s="90"/>
      <x:c r="I7" s="89"/>
      <x:c r="J7" s="90"/>
      <x:c r="K7" s="89"/>
      <x:c r="L7" s="90"/>
    </x:row>
    <x:row r="10">
      <x:c r="A10" s="28" t="str">
        <x:v>Phase</x:v>
      </x:c>
      <x:c r="B10" s="28" t="str">
        <x:v>Learning Layer</x:v>
      </x:c>
      <x:c r="C10" s="28" t="str">
        <x:v>Topic Count</x:v>
      </x:c>
      <x:c r="E10" s="28" t="str">
        <x:v>Mastery Gate</x:v>
      </x:c>
      <x:c r="F10" s="28" t="str">
        <x:v>Topic Count</x:v>
      </x:c>
      <x:c r="H10" s="28" t="str">
        <x:v>Minimum Proficiency</x:v>
      </x:c>
      <x:c r="I10" s="28" t="str">
        <x:v>Topic Count</x:v>
      </x:c>
      <x:c r="K10" s="28" t="str">
        <x:v>Official Domain</x:v>
      </x:c>
      <x:c r="L10" s="28" t="str">
        <x:v>Name</x:v>
      </x:c>
      <x:c r="M10" s="28" t="str">
        <x:v>Weight</x:v>
      </x:c>
    </x:row>
    <x:row r="11">
      <x:c r="A11" s="146" t="n">
        <x:v>0</x:v>
      </x:c>
      <x:c r="B11" s="129" t="str">
        <x:v>Layer 0 — GenAI and AWS foundations</x:v>
      </x:c>
      <x:c r="C11" s="130" t="n">
        <x:f>COUNTIF('Curriculum Matrix'!$C$6:$C$138,A11)</x:f>
        <x:v>10</x:v>
      </x:c>
      <x:c r="E11" s="110" t="str">
        <x:v>Hard</x:v>
      </x:c>
      <x:c r="F11" s="112" t="n">
        <x:f>COUNTIF('Curriculum Matrix'!$L$6:$L$138,E11)</x:f>
        <x:v>97</x:v>
      </x:c>
      <x:c r="H11" s="110" t="str">
        <x:v>Level 2 — Explain</x:v>
      </x:c>
      <x:c r="I11" s="112" t="n">
        <x:f>COUNTIF('Curriculum Matrix'!$K$6:$K$138,H11)</x:f>
        <x:v>5</x:v>
      </x:c>
      <x:c r="K11" s="128" t="str">
        <x:v>Domain 1</x:v>
      </x:c>
      <x:c r="L11" s="129" t="str">
        <x:v>Foundation Model Integration, Data Management, and Compliance</x:v>
      </x:c>
      <x:c r="M11" s="160" t="n">
        <x:v>0.31</x:v>
      </x:c>
    </x:row>
    <x:row r="12">
      <x:c r="A12" s="147" t="n">
        <x:v>1</x:v>
      </x:c>
      <x:c r="B12" s="132" t="str">
        <x:v>Layer 1 — Data and RAG foundations</x:v>
      </x:c>
      <x:c r="C12" s="133" t="n">
        <x:f>COUNTIF('Curriculum Matrix'!$C$6:$C$138,A12)</x:f>
        <x:v>16</x:v>
      </x:c>
      <x:c r="E12" s="113" t="str">
        <x:v>Soft</x:v>
      </x:c>
      <x:c r="F12" s="115" t="n">
        <x:f>COUNTIF('Curriculum Matrix'!$L$6:$L$138,E12)</x:f>
        <x:v>31</x:v>
      </x:c>
      <x:c r="H12" s="113" t="str">
        <x:v>Level 3 — Apply/Implement</x:v>
      </x:c>
      <x:c r="I12" s="115" t="n">
        <x:f>COUNTIF('Curriculum Matrix'!$K$6:$K$138,H12)</x:f>
        <x:v>74</x:v>
      </x:c>
      <x:c r="K12" s="131" t="str">
        <x:v>Domain 2</x:v>
      </x:c>
      <x:c r="L12" s="132" t="str">
        <x:v>Implementation and Integration</x:v>
      </x:c>
      <x:c r="M12" s="161" t="n">
        <x:v>0.26</x:v>
      </x:c>
    </x:row>
    <x:row r="13">
      <x:c r="A13" s="147" t="n">
        <x:v>2</x:v>
      </x:c>
      <x:c r="B13" s="132" t="str">
        <x:v>Layer 2 — Prompt systems and application interaction</x:v>
      </x:c>
      <x:c r="C13" s="133" t="n">
        <x:f>COUNTIF('Curriculum Matrix'!$C$6:$C$138,A13)</x:f>
        <x:v>12</x:v>
      </x:c>
      <x:c r="E13" s="116" t="str">
        <x:v>Capstone</x:v>
      </x:c>
      <x:c r="F13" s="118" t="n">
        <x:f>COUNTIF('Curriculum Matrix'!$L$6:$L$138,E13)</x:f>
        <x:v>5</x:v>
      </x:c>
      <x:c r="H13" s="113" t="str">
        <x:v>Level 4 — Select/Diagnose</x:v>
      </x:c>
      <x:c r="I13" s="115" t="n">
        <x:f>COUNTIF('Curriculum Matrix'!$K$6:$K$138,H13)</x:f>
        <x:v>46</x:v>
      </x:c>
      <x:c r="K13" s="131" t="str">
        <x:v>Domain 3</x:v>
      </x:c>
      <x:c r="L13" s="132" t="str">
        <x:v>AI Safety, Security, and Governance</x:v>
      </x:c>
      <x:c r="M13" s="161" t="n">
        <x:v>0.2</x:v>
      </x:c>
    </x:row>
    <x:row r="14">
      <x:c r="A14" s="147" t="n">
        <x:v>3</x:v>
      </x:c>
      <x:c r="B14" s="132" t="str">
        <x:v>Layer 3 — Models, routing, and deployment</x:v>
      </x:c>
      <x:c r="C14" s="133" t="n">
        <x:f>COUNTIF('Curriculum Matrix'!$C$6:$C$138,A14)</x:f>
        <x:v>10</x:v>
      </x:c>
      <x:c r="H14" s="116" t="str">
        <x:v>Level 5 — Design/Defend</x:v>
      </x:c>
      <x:c r="I14" s="118" t="n">
        <x:f>COUNTIF('Curriculum Matrix'!$K$6:$K$138,H14)</x:f>
        <x:v>8</x:v>
      </x:c>
      <x:c r="K14" s="131" t="str">
        <x:v>Domain 4</x:v>
      </x:c>
      <x:c r="L14" s="132" t="str">
        <x:v>Operational Efficiency and Optimization for GenAI Applications</x:v>
      </x:c>
      <x:c r="M14" s="161" t="n">
        <x:v>0.12</x:v>
      </x:c>
    </x:row>
    <x:row r="15">
      <x:c r="A15" s="147" t="n">
        <x:v>4</x:v>
      </x:c>
      <x:c r="B15" s="132" t="str">
        <x:v>Layer 4 — Application and enterprise integration</x:v>
      </x:c>
      <x:c r="C15" s="133" t="n">
        <x:f>COUNTIF('Curriculum Matrix'!$C$6:$C$138,A15)</x:f>
        <x:v>12</x:v>
      </x:c>
      <x:c r="K15" s="134" t="str">
        <x:v>Domain 5</x:v>
      </x:c>
      <x:c r="L15" s="135" t="str">
        <x:v>Testing, Validation, and Troubleshooting</x:v>
      </x:c>
      <x:c r="M15" s="162" t="n">
        <x:v>0.11</x:v>
      </x:c>
    </x:row>
    <x:row r="16">
      <x:c r="A16" s="147" t="n">
        <x:v>5</x:v>
      </x:c>
      <x:c r="B16" s="132" t="str">
        <x:v>Layer 5 — Tools and agentic AI</x:v>
      </x:c>
      <x:c r="C16" s="133" t="n">
        <x:f>COUNTIF('Curriculum Matrix'!$C$6:$C$138,A16)</x:f>
        <x:v>13</x:v>
      </x:c>
      <x:c r="E16" s="195" t="str">
        <x:v>Governing rule
Dependency determines sequence. Knowledge type determines pedagogy. Required capability determines assessment. Exam importance determines emphasis.</x:v>
      </x:c>
      <x:c r="F16" s="196"/>
      <x:c r="G16" s="196"/>
      <x:c r="H16" s="196"/>
      <x:c r="I16" s="196"/>
      <x:c r="J16" s="196"/>
      <x:c r="K16" s="196"/>
      <x:c r="L16" s="196"/>
      <x:c r="M16" s="197"/>
    </x:row>
    <x:row r="17">
      <x:c r="A17" s="147" t="n">
        <x:v>6</x:v>
      </x:c>
      <x:c r="B17" s="132" t="str">
        <x:v>Layer 6 — Safety, security, and privacy</x:v>
      </x:c>
      <x:c r="C17" s="133" t="n">
        <x:f>COUNTIF('Curriculum Matrix'!$C$6:$C$138,A17)</x:f>
        <x:v>12</x:v>
      </x:c>
      <x:c r="E17" s="198"/>
      <x:c r="F17" s="199"/>
      <x:c r="G17" s="199"/>
      <x:c r="H17" s="199"/>
      <x:c r="I17" s="199"/>
      <x:c r="J17" s="199"/>
      <x:c r="K17" s="199"/>
      <x:c r="L17" s="199"/>
      <x:c r="M17" s="200"/>
    </x:row>
    <x:row r="18">
      <x:c r="A18" s="147" t="n">
        <x:v>7</x:v>
      </x:c>
      <x:c r="B18" s="132" t="str">
        <x:v>Layer 7 — Governance and responsible AI</x:v>
      </x:c>
      <x:c r="C18" s="133" t="n">
        <x:f>COUNTIF('Curriculum Matrix'!$C$6:$C$138,A18)</x:f>
        <x:v>10</x:v>
      </x:c>
      <x:c r="E18" s="198"/>
      <x:c r="F18" s="199"/>
      <x:c r="G18" s="199"/>
      <x:c r="H18" s="199"/>
      <x:c r="I18" s="199"/>
      <x:c r="J18" s="199"/>
      <x:c r="K18" s="199"/>
      <x:c r="L18" s="199"/>
      <x:c r="M18" s="200"/>
    </x:row>
    <x:row r="19">
      <x:c r="A19" s="147" t="n">
        <x:v>8</x:v>
      </x:c>
      <x:c r="B19" s="132" t="str">
        <x:v>Layer 8 — Cost, performance, and operations</x:v>
      </x:c>
      <x:c r="C19" s="133" t="n">
        <x:f>COUNTIF('Curriculum Matrix'!$C$6:$C$138,A19)</x:f>
        <x:v>11</x:v>
      </x:c>
      <x:c r="E19" s="201"/>
      <x:c r="F19" s="202"/>
      <x:c r="G19" s="202"/>
      <x:c r="H19" s="202"/>
      <x:c r="I19" s="202"/>
      <x:c r="J19" s="202"/>
      <x:c r="K19" s="202"/>
      <x:c r="L19" s="202"/>
      <x:c r="M19" s="203"/>
    </x:row>
    <x:row r="20">
      <x:c r="A20" s="147" t="n">
        <x:v>9</x:v>
      </x:c>
      <x:c r="B20" s="132" t="str">
        <x:v>Layer 9 — Monitoring, evaluation, and troubleshooting</x:v>
      </x:c>
      <x:c r="C20" s="133" t="n">
        <x:f>COUNTIF('Curriculum Matrix'!$C$6:$C$138,A20)</x:f>
        <x:v>22</x:v>
      </x:c>
    </x:row>
    <x:row r="21">
      <x:c r="A21" s="148" t="n">
        <x:v>10</x:v>
      </x:c>
      <x:c r="B21" s="135" t="str">
        <x:v>Final integration</x:v>
      </x:c>
      <x:c r="C21" s="136" t="n">
        <x:f>COUNTIF('Curriculum Matrix'!$C$6:$C$138,A21)</x:f>
        <x:v>5</x:v>
      </x:c>
    </x:row>
  </x:sheetData>
  <x:mergeCells>
    <x:mergeCell ref="A1:M1"/>
    <x:mergeCell ref="A2:M2"/>
    <x:mergeCell ref="A4:B4"/>
    <x:mergeCell ref="A5:B7"/>
    <x:mergeCell ref="C4:D4"/>
    <x:mergeCell ref="C5:D7"/>
    <x:mergeCell ref="E4:F4"/>
    <x:mergeCell ref="E5:F7"/>
    <x:mergeCell ref="G4:H4"/>
    <x:mergeCell ref="G5:H7"/>
    <x:mergeCell ref="I4:J4"/>
    <x:mergeCell ref="I5:J7"/>
    <x:mergeCell ref="K4:L4"/>
    <x:mergeCell ref="K5:L7"/>
    <x:mergeCell ref="E16:M19"/>
  </x:mergeCells>
  <x:pageMargins left="0.7" right="0.7" top="0.75" bottom="0.75" header="0.3" footer="0.3"/>
  <x:drawing xmlns:r="http://schemas.openxmlformats.org/officeDocument/2006/relationships" r:id="Ra57516bc00494340"/>
</x:worksheet>
</file>

<file path=xl/worksheets/sheet4.xml><?xml version="1.0" encoding="utf-8"?>
<x:worksheet xmlns:x="http://schemas.openxmlformats.org/spreadsheetml/2006/main">
  <x:sheetFormatPr defaultRowHeight="15"/>
  <x:cols>
    <x:col min="1" max="1" width="24" hidden="0" customWidth="1"/>
    <x:col min="2" max="2" width="27" hidden="0" customWidth="1"/>
    <x:col min="3" max="3" width="45" hidden="0" customWidth="1"/>
    <x:col min="4" max="4" width="45" hidden="0" customWidth="1"/>
  </x:cols>
  <x:sheetData>
    <x:row r="1" ht="28" customHeight="1">
      <x:c r="A1" s="5" t="str">
        <x:v>How to Read and Use the Matrix</x:v>
      </x:c>
      <x:c r="B1" s="5"/>
      <x:c r="C1" s="5"/>
      <x:c r="D1" s="5"/>
    </x:row>
    <x:row r="2">
      <x:c r="A2" s="242" t="str">
        <x:v>The topic order is derived from prerequisites and dependencies. Knowledge Type and Teaching Method are applied only after the order is fixed. A layer exit assessment should verify all hard gates and schedule soft-gate remediation.</x:v>
      </x:c>
      <x:c r="B2" s="242"/>
      <x:c r="C2" s="242"/>
      <x:c r="D2" s="242"/>
    </x:row>
    <x:row r="3">
      <x:c r="A3" s="242"/>
      <x:c r="B3" s="242"/>
      <x:c r="C3" s="242"/>
      <x:c r="D3" s="242"/>
    </x:row>
    <x:row r="5">
      <x:c r="A5" s="28" t="str">
        <x:v>Category</x:v>
      </x:c>
      <x:c r="B5" s="28" t="str">
        <x:v>Value</x:v>
      </x:c>
      <x:c r="C5" s="28" t="str">
        <x:v>Meaning</x:v>
      </x:c>
      <x:c r="D5" s="28" t="str">
        <x:v>Practical Use</x:v>
      </x:c>
    </x:row>
    <x:row r="6" ht="38" customHeight="1">
      <x:c r="A6" s="38" t="str">
        <x:v>Dependency</x:v>
      </x:c>
      <x:c r="B6" s="39" t="str">
        <x:v>Hard prerequisite</x:v>
      </x:c>
      <x:c r="C6" s="39" t="str">
        <x:v>Required before the topic can be learned effectively</x:v>
      </x:c>
      <x:c r="D6" s="40" t="str">
        <x:v>Do not begin the topic until demonstrated</x:v>
      </x:c>
    </x:row>
    <x:row r="7" ht="38" customHeight="1">
      <x:c r="A7" s="41" t="str">
        <x:v>Dependency</x:v>
      </x:c>
      <x:c r="B7" s="42" t="str">
        <x:v>Soft prerequisite</x:v>
      </x:c>
      <x:c r="C7" s="42" t="str">
        <x:v>Improves readiness but can be remediated later</x:v>
      </x:c>
      <x:c r="D7" s="43" t="str">
        <x:v>Proceed only with a scheduled bridge/remediation</x:v>
      </x:c>
    </x:row>
    <x:row r="8" ht="38" customHeight="1">
      <x:c r="A8" s="41" t="str">
        <x:v>Dependency</x:v>
      </x:c>
      <x:c r="B8" s="42" t="str">
        <x:v>Mixed</x:v>
      </x:c>
      <x:c r="C8" s="42" t="str">
        <x:v>Contains both hard and soft prerequisites</x:v>
      </x:c>
      <x:c r="D8" s="43" t="str">
        <x:v>Satisfy hard prerequisites; track soft gaps</x:v>
      </x:c>
    </x:row>
    <x:row r="9" ht="38" customHeight="1">
      <x:c r="A9" s="41" t="str">
        <x:v>Proficiency</x:v>
      </x:c>
      <x:c r="B9" s="42" t="str">
        <x:v>Level 2 — Explain</x:v>
      </x:c>
      <x:c r="C9" s="42" t="str">
        <x:v>Reconstruct and explain the concept</x:v>
      </x:c>
      <x:c r="D9" s="43" t="str">
        <x:v>Conceptual foundation</x:v>
      </x:c>
    </x:row>
    <x:row r="10" ht="38" customHeight="1">
      <x:c r="A10" s="41" t="str">
        <x:v>Proficiency</x:v>
      </x:c>
      <x:c r="B10" s="42" t="str">
        <x:v>Level 3 — Apply/Implement</x:v>
      </x:c>
      <x:c r="C10" s="42" t="str">
        <x:v>Perform a standard task independently</x:v>
      </x:c>
      <x:c r="D10" s="43" t="str">
        <x:v>Hands-on competence</x:v>
      </x:c>
    </x:row>
    <x:row r="11" ht="38" customHeight="1">
      <x:c r="A11" s="41" t="str">
        <x:v>Proficiency</x:v>
      </x:c>
      <x:c r="B11" s="42" t="str">
        <x:v>Level 4 — Select/Diagnose</x:v>
      </x:c>
      <x:c r="C11" s="42" t="str">
        <x:v>Choose among alternatives or diagnose failures</x:v>
      </x:c>
      <x:c r="D11" s="43" t="str">
        <x:v>Professional scenario judgment</x:v>
      </x:c>
    </x:row>
    <x:row r="12" ht="38" customHeight="1">
      <x:c r="A12" s="41" t="str">
        <x:v>Proficiency</x:v>
      </x:c>
      <x:c r="B12" s="42" t="str">
        <x:v>Level 5 — Design/Defend</x:v>
      </x:c>
      <x:c r="C12" s="42" t="str">
        <x:v>Design under constraints and defend trade-offs</x:v>
      </x:c>
      <x:c r="D12" s="43" t="str">
        <x:v>Architecture and governance mastery</x:v>
      </x:c>
    </x:row>
    <x:row r="13" ht="38" customHeight="1">
      <x:c r="A13" s="41" t="str">
        <x:v>Mastery gate</x:v>
      </x:c>
      <x:c r="B13" s="42" t="str">
        <x:v>Hard</x:v>
      </x:c>
      <x:c r="C13" s="42" t="str">
        <x:v>Failure blocks progression</x:v>
      </x:c>
      <x:c r="D13" s="43" t="str">
        <x:v>Targeted remediation and reassessment required</x:v>
      </x:c>
    </x:row>
    <x:row r="14" ht="38" customHeight="1">
      <x:c r="A14" s="41" t="str">
        <x:v>Mastery gate</x:v>
      </x:c>
      <x:c r="B14" s="42" t="str">
        <x:v>Soft</x:v>
      </x:c>
      <x:c r="C14" s="42" t="str">
        <x:v>Failure does not immediately block progression</x:v>
      </x:c>
      <x:c r="D14" s="43" t="str">
        <x:v>Must be remediated before dependent topic or final readiness</x:v>
      </x:c>
    </x:row>
    <x:row r="15" ht="38" customHeight="1">
      <x:c r="A15" s="41" t="str">
        <x:v>Mastery gate</x:v>
      </x:c>
      <x:c r="B15" s="42" t="str">
        <x:v>Capstone</x:v>
      </x:c>
      <x:c r="C15" s="42" t="str">
        <x:v>Integrates multiple prior layers</x:v>
      </x:c>
      <x:c r="D15" s="43" t="str">
        <x:v>Used for final synthesis and readiness</x:v>
      </x:c>
    </x:row>
    <x:row r="16" ht="38" customHeight="1">
      <x:c r="A16" s="41" t="str">
        <x:v>Syllabus relationship</x:v>
      </x:c>
      <x:c r="B16" s="42" t="str">
        <x:v>Foundational / cross-cutting</x:v>
      </x:c>
      <x:c r="C16" s="42" t="str">
        <x:v>Required foundation not organized as a standalone official skill</x:v>
      </x:c>
      <x:c r="D16" s="43" t="str">
        <x:v>Teach before dependent official topics</x:v>
      </x:c>
    </x:row>
    <x:row r="17" ht="38" customHeight="1">
      <x:c r="A17" s="41" t="str">
        <x:v>Syllabus relationship</x:v>
      </x:c>
      <x:c r="B17" s="42" t="str">
        <x:v>Official skill-derived</x:v>
      </x:c>
      <x:c r="C17" s="42" t="str">
        <x:v>Directly derived from one or more official AIP-C01 skills</x:v>
      </x:c>
      <x:c r="D17" s="43" t="str">
        <x:v>Maintain skill-ID traceability</x:v>
      </x:c>
    </x:row>
    <x:row r="18" ht="38" customHeight="1">
      <x:c r="A18" s="44" t="str">
        <x:v>Syllabus relationship</x:v>
      </x:c>
      <x:c r="B18" s="45" t="str">
        <x:v>Cross-domain synthesis</x:v>
      </x:c>
      <x:c r="C18" s="45" t="str">
        <x:v>Combines multiple official domains</x:v>
      </x:c>
      <x:c r="D18" s="46" t="str">
        <x:v>Use after the underlying skills are mastered</x:v>
      </x:c>
    </x:row>
    <x:row r="21">
      <x:c r="A21" s="28" t="str">
        <x:v>Knowledge-Type Use</x:v>
      </x:c>
      <x:c r="B21" s="28" t="str">
        <x:v>Primary Teaching Pattern</x:v>
      </x:c>
      <x:c r="C21" s="28" t="str">
        <x:v>Assessment Pattern</x:v>
      </x:c>
      <x:c r="D21" s="28" t="str">
        <x:v>Examples</x:v>
      </x:c>
    </x:row>
    <x:row r="22" ht="40" customHeight="1">
      <x:c r="A22" s="128" t="str">
        <x:v>Declarative</x:v>
      </x:c>
      <x:c r="B22" s="129" t="str">
        <x:v>Retrieval practice and spaced review</x:v>
      </x:c>
      <x:c r="C22" s="129" t="str">
        <x:v>Recall without notes</x:v>
      </x:c>
      <x:c r="D22" s="130" t="str">
        <x:v>Service capabilities, terminology</x:v>
      </x:c>
    </x:row>
    <x:row r="23" ht="40" customHeight="1">
      <x:c r="A23" s="131" t="str">
        <x:v>Conceptual</x:v>
      </x:c>
      <x:c r="B23" s="132" t="str">
        <x:v>Diagrams, comparison, self-explanation</x:v>
      </x:c>
      <x:c r="C23" s="132" t="str">
        <x:v>Reconstruct and explain relationships</x:v>
      </x:c>
      <x:c r="D23" s="133" t="str">
        <x:v>RAG flow, trust boundaries</x:v>
      </x:c>
    </x:row>
    <x:row r="24" ht="40" customHeight="1">
      <x:c r="A24" s="131" t="str">
        <x:v>Procedural / Embedded</x:v>
      </x:c>
      <x:c r="B24" s="132" t="str">
        <x:v>Independent AWS lab</x:v>
      </x:c>
      <x:c r="C24" s="132" t="str">
        <x:v>Complete task and explain configuration</x:v>
      </x:c>
      <x:c r="D24" s="133" t="str">
        <x:v>APIs, deployment, monitoring</x:v>
      </x:c>
    </x:row>
    <x:row r="25" ht="40" customHeight="1">
      <x:c r="A25" s="131" t="str">
        <x:v>Conditional / Strategic</x:v>
      </x:c>
      <x:c r="B25" s="132" t="str">
        <x:v>Contrasting scenarios and design reviews</x:v>
      </x:c>
      <x:c r="C25" s="132" t="str">
        <x:v>Select and reject alternatives</x:v>
      </x:c>
      <x:c r="D25" s="133" t="str">
        <x:v>Model choice, architecture trade-offs</x:v>
      </x:c>
    </x:row>
    <x:row r="26" ht="40" customHeight="1">
      <x:c r="A26" s="131" t="str">
        <x:v>Causal / Diagnostic</x:v>
      </x:c>
      <x:c r="B26" s="132" t="str">
        <x:v>Controlled experiments and failure injection</x:v>
      </x:c>
      <x:c r="C26" s="132" t="str">
        <x:v>Find root cause and correct it</x:v>
      </x:c>
      <x:c r="D26" s="133" t="str">
        <x:v>RAG, prompt, API failures</x:v>
      </x:c>
    </x:row>
    <x:row r="27" ht="40" customHeight="1">
      <x:c r="A27" s="134" t="str">
        <x:v>Normative / Institutional</x:v>
      </x:c>
      <x:c r="B27" s="135" t="str">
        <x:v>Policy, risk, role, and evidence mapping</x:v>
      </x:c>
      <x:c r="C27" s="135" t="str">
        <x:v>Justify controls and accountability</x:v>
      </x:c>
      <x:c r="D27" s="136" t="str">
        <x:v>Privacy, governance, fairness</x:v>
      </x:c>
    </x:row>
  </x:sheetData>
  <x:mergeCells>
    <x:mergeCell ref="A1:D1"/>
    <x:mergeCell ref="A2:D3"/>
  </x:mergeCells>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48" hidden="0" customWidth="1"/>
    <x:col min="3" max="3" width="75" hidden="0" customWidth="1"/>
    <x:col min="4" max="4" width="14" hidden="0" customWidth="1"/>
  </x:cols>
  <x:sheetData>
    <x:row r="1" ht="28" customHeight="1">
      <x:c r="A1" s="5" t="str">
        <x:v>Research Sources and Verification</x:v>
      </x:c>
      <x:c r="B1" s="5"/>
      <x:c r="C1" s="5"/>
      <x:c r="D1" s="5"/>
    </x:row>
    <x:row r="2" ht="28" customHeight="1">
      <x:c r="A2" s="12" t="str">
        <x:v>AWS documentation was treated as the source of truth. Local research documents supplied the pedagogy and knowledge-type analysis.</x:v>
      </x:c>
      <x:c r="B2" s="12"/>
      <x:c r="C2" s="12"/>
      <x:c r="D2" s="12"/>
    </x:row>
    <x:row r="4">
      <x:c r="A4" s="28" t="str">
        <x:v>Source</x:v>
      </x:c>
      <x:c r="B4" s="28" t="str">
        <x:v>Purpose</x:v>
      </x:c>
      <x:c r="C4" s="28" t="str">
        <x:v>URL / Location</x:v>
      </x:c>
      <x:c r="D4" s="28" t="str">
        <x:v>Verified Date</x:v>
      </x:c>
    </x:row>
    <x:row r="5" ht="40" customHeight="1">
      <x:c r="A5" s="38" t="str">
        <x:v>AIP-C01 exam guide</x:v>
      </x:c>
      <x:c r="B5" s="39" t="str">
        <x:v>Official domains, weightings, tasks, and scope</x:v>
      </x:c>
      <x:c r="C5" s="39" t="str">
        <x:v>https://docs.aws.amazon.com/aws-certification/latest/ai-professional-01/ai-professional-01.html</x:v>
      </x:c>
      <x:c r="D5" s="40" t="str">
        <x:v>2026-06-15</x:v>
      </x:c>
    </x:row>
    <x:row r="6" ht="40" customHeight="1">
      <x:c r="A6" s="41" t="str">
        <x:v>Domain 1</x:v>
      </x:c>
      <x:c r="B6" s="42" t="str">
        <x:v>Official Domain 1 tasks and skills</x:v>
      </x:c>
      <x:c r="C6" s="42" t="str">
        <x:v>https://docs.aws.amazon.com/aws-certification/latest/ai-professional-01/ai-professional-01-domain1.html</x:v>
      </x:c>
      <x:c r="D6" s="43" t="str">
        <x:v>2026-06-15</x:v>
      </x:c>
    </x:row>
    <x:row r="7" ht="40" customHeight="1">
      <x:c r="A7" s="41" t="str">
        <x:v>Domain 2</x:v>
      </x:c>
      <x:c r="B7" s="42" t="str">
        <x:v>Official Domain 2 tasks and skills</x:v>
      </x:c>
      <x:c r="C7" s="42" t="str">
        <x:v>https://docs.aws.amazon.com/aws-certification/latest/ai-professional-01/ai-professional-01-domain2.html</x:v>
      </x:c>
      <x:c r="D7" s="43" t="str">
        <x:v>2026-06-15</x:v>
      </x:c>
    </x:row>
    <x:row r="8" ht="40" customHeight="1">
      <x:c r="A8" s="41" t="str">
        <x:v>Domain 3</x:v>
      </x:c>
      <x:c r="B8" s="42" t="str">
        <x:v>Official Domain 3 tasks and skills</x:v>
      </x:c>
      <x:c r="C8" s="42" t="str">
        <x:v>https://docs.aws.amazon.com/aws-certification/latest/ai-professional-01/ai-professional-01-domain3.html</x:v>
      </x:c>
      <x:c r="D8" s="43" t="str">
        <x:v>2026-06-15</x:v>
      </x:c>
    </x:row>
    <x:row r="9" ht="40" customHeight="1">
      <x:c r="A9" s="41" t="str">
        <x:v>Domain 4</x:v>
      </x:c>
      <x:c r="B9" s="42" t="str">
        <x:v>Official Domain 4 tasks and skills</x:v>
      </x:c>
      <x:c r="C9" s="42" t="str">
        <x:v>https://docs.aws.amazon.com/aws-certification/latest/ai-professional-01/ai-professional-01-domain4.html</x:v>
      </x:c>
      <x:c r="D9" s="43" t="str">
        <x:v>2026-06-15</x:v>
      </x:c>
    </x:row>
    <x:row r="10" ht="40" customHeight="1">
      <x:c r="A10" s="41" t="str">
        <x:v>Domain 5</x:v>
      </x:c>
      <x:c r="B10" s="42" t="str">
        <x:v>Official Domain 5 tasks and skills</x:v>
      </x:c>
      <x:c r="C10" s="42" t="str">
        <x:v>https://docs.aws.amazon.com/aws-certification/latest/ai-professional-01/ai-professional-01-domain5.html</x:v>
      </x:c>
      <x:c r="D10" s="43" t="str">
        <x:v>2026-06-15</x:v>
      </x:c>
    </x:row>
    <x:row r="11" ht="40" customHeight="1">
      <x:c r="A11" s="41" t="str">
        <x:v>Technologies and concepts</x:v>
      </x:c>
      <x:c r="B11" s="42" t="str">
        <x:v>Official cross-cutting technology list</x:v>
      </x:c>
      <x:c r="C11" s="42" t="str">
        <x:v>https://docs.aws.amazon.com/aws-certification/latest/ai-professional-01/ai-professional-01-technologies-concepts.html</x:v>
      </x:c>
      <x:c r="D11" s="43" t="str">
        <x:v>2026-06-15</x:v>
      </x:c>
    </x:row>
    <x:row r="12" ht="40" customHeight="1">
      <x:c r="A12" s="41" t="str">
        <x:v>In-scope AWS services</x:v>
      </x:c>
      <x:c r="B12" s="42" t="str">
        <x:v>Official service scope</x:v>
      </x:c>
      <x:c r="C12" s="42" t="str">
        <x:v>https://docs.aws.amazon.com/aws-certification/latest/ai-professional-01/aip-01-in-scope-services.html</x:v>
      </x:c>
      <x:c r="D12" s="43" t="str">
        <x:v>2026-06-15</x:v>
      </x:c>
    </x:row>
    <x:row r="13" ht="40" customHeight="1">
      <x:c r="A13" s="41" t="str">
        <x:v>AIP-C01_Knowledge_Type_Classification.md</x:v>
      </x:c>
      <x:c r="B13" s="42" t="str">
        <x:v>Knowledge classification, teaching, and assessment research</x:v>
      </x:c>
      <x:c r="C13" s="42" t="str">
        <x:v>Local research document</x:v>
      </x:c>
      <x:c r="D13" s="43" t="str">
        <x:v>2026-06-15</x:v>
      </x:c>
    </x:row>
    <x:row r="14" ht="40" customHeight="1">
      <x:c r="A14" s="41" t="str">
        <x:v>AIP-C01_Teaching_Strategy.md</x:v>
      </x:c>
      <x:c r="B14" s="42" t="str">
        <x:v>Dependency, mastery-gate, diagnostic, and progression strategy</x:v>
      </x:c>
      <x:c r="C14" s="42" t="str">
        <x:v>Local strategy document</x:v>
      </x:c>
      <x:c r="D14" s="43" t="str">
        <x:v>2026-06-15</x:v>
      </x:c>
    </x:row>
    <x:row r="15" ht="40" customHeight="1">
      <x:c r="A15" s="44" t="str">
        <x:v>attached-syllabus-knowledge-types.md</x:v>
      </x:c>
      <x:c r="B15" s="45" t="str">
        <x:v>Supplementary embedded and institutional knowledge analysis</x:v>
      </x:c>
      <x:c r="C15" s="45" t="str">
        <x:v>Local supplementary research</x:v>
      </x:c>
      <x:c r="D15" s="46" t="str">
        <x:v>2026-06-15</x:v>
      </x:c>
    </x:row>
    <x:row r="17">
      <x:c r="A17" s="263" t="str">
        <x:v>Important: The AWS exam guide states that its content outline and technology lists are not exhaustive. Revalidate the workbook against the official guide before a future course release or exam attempt.</x:v>
      </x:c>
      <x:c r="B17" s="264"/>
      <x:c r="C17" s="264"/>
      <x:c r="D17" s="265"/>
    </x:row>
    <x:row r="18">
      <x:c r="A18" s="266"/>
      <x:c r="B18" s="267"/>
      <x:c r="C18" s="267"/>
      <x:c r="D18" s="268"/>
    </x:row>
    <x:row r="19">
      <x:c r="A19" s="269"/>
      <x:c r="B19" s="270"/>
      <x:c r="C19" s="270"/>
      <x:c r="D19" s="271"/>
    </x:row>
  </x:sheetData>
  <x:mergeCells>
    <x:mergeCell ref="A1:D1"/>
    <x:mergeCell ref="A2:D2"/>
    <x:mergeCell ref="A17:D19"/>
  </x:mergeCells>
  <x:pageMargins left="0.7" right="0.7" top="0.75" bottom="0.75" header="0.3" footer="0.3"/>
  <x:tableParts count="1">
    <x:tablePart xmlns:r="http://schemas.openxmlformats.org/officeDocument/2006/relationships" r:id="Ra60e2e274b3d42f4"/>
  </x:tableParts>
</x:worksheet>
</file>

<file path=xl/worksheets/sheet6.xml><?xml version="1.0" encoding="utf-8"?>
<x:worksheet xmlns:x="http://schemas.openxmlformats.org/spreadsheetml/2006/main">
  <x:sheetFormatPr defaultRowHeight="15"/>
  <x:cols>
    <x:col min="1" max="1" width="13" hidden="0" customWidth="1"/>
    <x:col min="2" max="2" width="12" hidden="0" customWidth="1"/>
    <x:col min="3" max="3" width="52" hidden="0" customWidth="1"/>
  </x:cols>
  <x:sheetData>
    <x:row r="1" ht="28" customHeight="1">
      <x:c r="A1" s="5" t="str">
        <x:v>Normalized Official Skill-to-Curriculum Topic Mapping</x:v>
      </x:c>
      <x:c r="B1" s="5"/>
      <x:c r="C1" s="5"/>
    </x:row>
    <x:row r="2" ht="26" customHeight="1">
      <x:c r="A2" s="12" t="str">
        <x:v>One row per official skill/topic relationship. This sheet supports the formula-driven coverage audit.</x:v>
      </x:c>
      <x:c r="B2" s="12"/>
      <x:c r="C2" s="12"/>
    </x:row>
    <x:row r="4">
      <x:c r="A4" s="28" t="str">
        <x:v>Skill ID</x:v>
      </x:c>
      <x:c r="B4" s="28" t="str">
        <x:v>Topic Index</x:v>
      </x:c>
      <x:c r="C4" s="28" t="str">
        <x:v>Topic Name</x:v>
      </x:c>
    </x:row>
    <x:row r="5" ht="28" customHeight="1">
      <x:c r="A5" s="146" t="str">
        <x:v>1.6.5</x:v>
      </x:c>
      <x:c r="B5" s="300" t="n">
        <x:v>2</x:v>
      </x:c>
      <x:c r="C5" s="130" t="str">
        <x:v>Tokens, context windows, inference, temperature, top-k, and top-p</x:v>
      </x:c>
    </x:row>
    <x:row r="6" ht="28" customHeight="1">
      <x:c r="A6" s="147" t="str">
        <x:v>4.1.1</x:v>
      </x:c>
      <x:c r="B6" s="301" t="n">
        <x:v>2</x:v>
      </x:c>
      <x:c r="C6" s="133" t="str">
        <x:v>Tokens, context windows, inference, temperature, top-k, and top-p</x:v>
      </x:c>
    </x:row>
    <x:row r="7" ht="28" customHeight="1">
      <x:c r="A7" s="147" t="str">
        <x:v>4.2.4</x:v>
      </x:c>
      <x:c r="B7" s="301" t="n">
        <x:v>2</x:v>
      </x:c>
      <x:c r="C7" s="133" t="str">
        <x:v>Tokens, context windows, inference, temperature, top-k, and top-p</x:v>
      </x:c>
    </x:row>
    <x:row r="8" ht="28" customHeight="1">
      <x:c r="A8" s="147" t="str">
        <x:v>5.2.1</x:v>
      </x:c>
      <x:c r="B8" s="301" t="n">
        <x:v>2</x:v>
      </x:c>
      <x:c r="C8" s="133" t="str">
        <x:v>Tokens, context windows, inference, temperature, top-k, and top-p</x:v>
      </x:c>
    </x:row>
    <x:row r="9" ht="28" customHeight="1">
      <x:c r="A9" s="147" t="str">
        <x:v>2.3.1</x:v>
      </x:c>
      <x:c r="B9" s="301" t="n">
        <x:v>4</x:v>
      </x:c>
      <x:c r="C9" s="133" t="str">
        <x:v>API, event-driven, serverless, container, and workflow fundamentals</x:v>
      </x:c>
    </x:row>
    <x:row r="10" ht="28" customHeight="1">
      <x:c r="A10" s="147" t="str">
        <x:v>2.4.1</x:v>
      </x:c>
      <x:c r="B10" s="301" t="n">
        <x:v>4</x:v>
      </x:c>
      <x:c r="C10" s="133" t="str">
        <x:v>API, event-driven, serverless, container, and workflow fundamentals</x:v>
      </x:c>
    </x:row>
    <x:row r="11" ht="28" customHeight="1">
      <x:c r="A11" s="147" t="str">
        <x:v>2.5.1</x:v>
      </x:c>
      <x:c r="B11" s="301" t="n">
        <x:v>4</x:v>
      </x:c>
      <x:c r="C11" s="133" t="str">
        <x:v>API, event-driven, serverless, container, and workflow fundamentals</x:v>
      </x:c>
    </x:row>
    <x:row r="12" ht="28" customHeight="1">
      <x:c r="A12" s="147" t="str">
        <x:v>2.3.3</x:v>
      </x:c>
      <x:c r="B12" s="301" t="n">
        <x:v>5</x:v>
      </x:c>
      <x:c r="C12" s="133" t="str">
        <x:v>IAM, trust boundaries, least privilege, networking, and data-protection fundamentals</x:v>
      </x:c>
    </x:row>
    <x:row r="13" ht="28" customHeight="1">
      <x:c r="A13" s="147" t="str">
        <x:v>3.2.1</x:v>
      </x:c>
      <x:c r="B13" s="301" t="n">
        <x:v>5</x:v>
      </x:c>
      <x:c r="C13" s="133" t="str">
        <x:v>IAM, trust boundaries, least privilege, networking, and data-protection fundamentals</x:v>
      </x:c>
    </x:row>
    <x:row r="14" ht="28" customHeight="1">
      <x:c r="A14" s="147" t="str">
        <x:v>3.2.2</x:v>
      </x:c>
      <x:c r="B14" s="301" t="n">
        <x:v>5</x:v>
      </x:c>
      <x:c r="C14" s="133" t="str">
        <x:v>IAM, trust boundaries, least privilege, networking, and data-protection fundamentals</x:v>
      </x:c>
    </x:row>
    <x:row r="15" ht="28" customHeight="1">
      <x:c r="A15" s="147" t="str">
        <x:v>1.1.1</x:v>
      </x:c>
      <x:c r="B15" s="301" t="n">
        <x:v>6</x:v>
      </x:c>
      <x:c r="C15" s="133" t="str">
        <x:v>GenAI requirements analysis and basic solution architecture</x:v>
      </x:c>
    </x:row>
    <x:row r="16" ht="28" customHeight="1">
      <x:c r="A16" s="147" t="str">
        <x:v>1.1.2</x:v>
      </x:c>
      <x:c r="B16" s="301" t="n">
        <x:v>6</x:v>
      </x:c>
      <x:c r="C16" s="133" t="str">
        <x:v>GenAI requirements analysis and basic solution architecture</x:v>
      </x:c>
    </x:row>
    <x:row r="17" ht="28" customHeight="1">
      <x:c r="A17" s="147" t="str">
        <x:v>1.1.3</x:v>
      </x:c>
      <x:c r="B17" s="301" t="n">
        <x:v>6</x:v>
      </x:c>
      <x:c r="C17" s="133" t="str">
        <x:v>GenAI requirements analysis and basic solution architecture</x:v>
      </x:c>
    </x:row>
    <x:row r="18" ht="28" customHeight="1">
      <x:c r="A18" s="147" t="str">
        <x:v>1.2.1</x:v>
      </x:c>
      <x:c r="B18" s="301" t="n">
        <x:v>7</x:v>
      </x:c>
      <x:c r="C18" s="133" t="str">
        <x:v>Foundation-model capabilities, limitations, and basic model selection</x:v>
      </x:c>
    </x:row>
    <x:row r="19" ht="28" customHeight="1">
      <x:c r="A19" s="147" t="str">
        <x:v>2.2.1</x:v>
      </x:c>
      <x:c r="B19" s="301" t="n">
        <x:v>8</x:v>
      </x:c>
      <x:c r="C19" s="133" t="str">
        <x:v>Basic Amazon Bedrock model invocation</x:v>
      </x:c>
    </x:row>
    <x:row r="20" ht="28" customHeight="1">
      <x:c r="A20" s="147" t="str">
        <x:v>2.4.1</x:v>
      </x:c>
      <x:c r="B20" s="301" t="n">
        <x:v>8</x:v>
      </x:c>
      <x:c r="C20" s="133" t="str">
        <x:v>Basic Amazon Bedrock model invocation</x:v>
      </x:c>
    </x:row>
    <x:row r="21" ht="28" customHeight="1">
      <x:c r="A21" s="147" t="str">
        <x:v>1.6.1</x:v>
      </x:c>
      <x:c r="B21" s="301" t="n">
        <x:v>9</x:v>
      </x:c>
      <x:c r="C21" s="133" t="str">
        <x:v>Prompt fundamentals, instructions, templates, and structured outputs</x:v>
      </x:c>
    </x:row>
    <x:row r="22" ht="28" customHeight="1">
      <x:c r="A22" s="147" t="str">
        <x:v>1.6.5</x:v>
      </x:c>
      <x:c r="B22" s="301" t="n">
        <x:v>9</x:v>
      </x:c>
      <x:c r="C22" s="133" t="str">
        <x:v>Prompt fundamentals, instructions, templates, and structured outputs</x:v>
      </x:c>
    </x:row>
    <x:row r="23" ht="28" customHeight="1">
      <x:c r="A23" s="147" t="str">
        <x:v>5.1.1</x:v>
      </x:c>
      <x:c r="B23" s="301" t="n">
        <x:v>10</x:v>
      </x:c>
      <x:c r="C23" s="133" t="str">
        <x:v>Basic GenAI evaluation concepts and golden datasets</x:v>
      </x:c>
    </x:row>
    <x:row r="24" ht="28" customHeight="1">
      <x:c r="A24" s="147" t="str">
        <x:v>5.1.4</x:v>
      </x:c>
      <x:c r="B24" s="301" t="n">
        <x:v>10</x:v>
      </x:c>
      <x:c r="C24" s="133" t="str">
        <x:v>Basic GenAI evaluation concepts and golden datasets</x:v>
      </x:c>
    </x:row>
    <x:row r="25" ht="28" customHeight="1">
      <x:c r="A25" s="147" t="str">
        <x:v>5.1.5</x:v>
      </x:c>
      <x:c r="B25" s="301" t="n">
        <x:v>10</x:v>
      </x:c>
      <x:c r="C25" s="133" t="str">
        <x:v>Basic GenAI evaluation concepts and golden datasets</x:v>
      </x:c>
    </x:row>
    <x:row r="26" ht="28" customHeight="1">
      <x:c r="A26" s="147" t="str">
        <x:v>1.3.1</x:v>
      </x:c>
      <x:c r="B26" s="301" t="n">
        <x:v>11</x:v>
      </x:c>
      <x:c r="C26" s="133" t="str">
        <x:v>Data-quality validation and monitoring</x:v>
      </x:c>
    </x:row>
    <x:row r="27" ht="28" customHeight="1">
      <x:c r="A27" s="147" t="str">
        <x:v>1.3.2</x:v>
      </x:c>
      <x:c r="B27" s="301" t="n">
        <x:v>12</x:v>
      </x:c>
      <x:c r="C27" s="133" t="str">
        <x:v>Text, image, audio, and tabular-data preprocessing</x:v>
      </x:c>
    </x:row>
    <x:row r="28" ht="28" customHeight="1">
      <x:c r="A28" s="147" t="str">
        <x:v>1.3.3</x:v>
      </x:c>
      <x:c r="B28" s="301" t="n">
        <x:v>13</x:v>
      </x:c>
      <x:c r="C28" s="133" t="str">
        <x:v>Model-specific input formatting and data normalization</x:v>
      </x:c>
    </x:row>
    <x:row r="29" ht="28" customHeight="1">
      <x:c r="A29" s="147" t="str">
        <x:v>1.3.4</x:v>
      </x:c>
      <x:c r="B29" s="301" t="n">
        <x:v>13</x:v>
      </x:c>
      <x:c r="C29" s="133" t="str">
        <x:v>Model-specific input formatting and data normalization</x:v>
      </x:c>
    </x:row>
    <x:row r="30" ht="28" customHeight="1">
      <x:c r="A30" s="147" t="str">
        <x:v>1.5.2</x:v>
      </x:c>
      <x:c r="B30" s="301" t="n">
        <x:v>14</x:v>
      </x:c>
      <x:c r="C30" s="133" t="str">
        <x:v>Embeddings and vector-similarity fundamentals</x:v>
      </x:c>
    </x:row>
    <x:row r="31" ht="28" customHeight="1">
      <x:c r="A31" s="147" t="str">
        <x:v>1.5.1</x:v>
      </x:c>
      <x:c r="B31" s="301" t="n">
        <x:v>15</x:v>
      </x:c>
      <x:c r="C31" s="133" t="str">
        <x:v>Document chunking and segmentation</x:v>
      </x:c>
    </x:row>
    <x:row r="32" ht="28" customHeight="1">
      <x:c r="A32" s="147" t="str">
        <x:v>1.4.2</x:v>
      </x:c>
      <x:c r="B32" s="301" t="n">
        <x:v>16</x:v>
      </x:c>
      <x:c r="C32" s="133" t="str">
        <x:v>Metadata design and filtering</x:v>
      </x:c>
    </x:row>
    <x:row r="33" ht="28" customHeight="1">
      <x:c r="A33" s="147" t="str">
        <x:v>1.4.1</x:v>
      </x:c>
      <x:c r="B33" s="301" t="n">
        <x:v>17</x:v>
      </x:c>
      <x:c r="C33" s="133" t="str">
        <x:v>Vector-store technologies and architecture</x:v>
      </x:c>
    </x:row>
    <x:row r="34" ht="28" customHeight="1">
      <x:c r="A34" s="147" t="str">
        <x:v>1.5.3</x:v>
      </x:c>
      <x:c r="B34" s="301" t="n">
        <x:v>17</x:v>
      </x:c>
      <x:c r="C34" s="133" t="str">
        <x:v>Vector-store technologies and architecture</x:v>
      </x:c>
    </x:row>
    <x:row r="35" ht="28" customHeight="1">
      <x:c r="A35" s="147" t="str">
        <x:v>1.4.3</x:v>
      </x:c>
      <x:c r="B35" s="301" t="n">
        <x:v>18</x:v>
      </x:c>
      <x:c r="C35" s="133" t="str">
        <x:v>Vector indexing, sharding, scaling, and performance</x:v>
      </x:c>
    </x:row>
    <x:row r="36" ht="28" customHeight="1">
      <x:c r="A36" s="147" t="str">
        <x:v>1.5.3</x:v>
      </x:c>
      <x:c r="B36" s="301" t="n">
        <x:v>19</x:v>
      </x:c>
      <x:c r="C36" s="133" t="str">
        <x:v>Basic semantic retrieval</x:v>
      </x:c>
    </x:row>
    <x:row r="37" ht="28" customHeight="1">
      <x:c r="A37" s="147" t="str">
        <x:v>1.4.1</x:v>
      </x:c>
      <x:c r="B37" s="301" t="n">
        <x:v>20</x:v>
      </x:c>
      <x:c r="C37" s="133" t="str">
        <x:v>Basic Retrieval-Augmented Generation</x:v>
      </x:c>
    </x:row>
    <x:row r="38" ht="28" customHeight="1">
      <x:c r="A38" s="147" t="str">
        <x:v>1.5.3</x:v>
      </x:c>
      <x:c r="B38" s="301" t="n">
        <x:v>20</x:v>
      </x:c>
      <x:c r="C38" s="133" t="str">
        <x:v>Basic Retrieval-Augmented Generation</x:v>
      </x:c>
    </x:row>
    <x:row r="39" ht="28" customHeight="1">
      <x:c r="A39" s="147" t="str">
        <x:v>1.5.4</x:v>
      </x:c>
      <x:c r="B39" s="301" t="n">
        <x:v>21</x:v>
      </x:c>
      <x:c r="C39" s="133" t="str">
        <x:v>Hybrid search and custom scoring</x:v>
      </x:c>
    </x:row>
    <x:row r="40" ht="28" customHeight="1">
      <x:c r="A40" s="147" t="str">
        <x:v>4.2.2</x:v>
      </x:c>
      <x:c r="B40" s="301" t="n">
        <x:v>21</x:v>
      </x:c>
      <x:c r="C40" s="133" t="str">
        <x:v>Hybrid search and custom scoring</x:v>
      </x:c>
    </x:row>
    <x:row r="41" ht="28" customHeight="1">
      <x:c r="A41" s="147" t="str">
        <x:v>1.5.4</x:v>
      </x:c>
      <x:c r="B41" s="301" t="n">
        <x:v>22</x:v>
      </x:c>
      <x:c r="C41" s="133" t="str">
        <x:v>Reranking</x:v>
      </x:c>
    </x:row>
    <x:row r="42" ht="28" customHeight="1">
      <x:c r="A42" s="147" t="str">
        <x:v>1.5.5</x:v>
      </x:c>
      <x:c r="B42" s="301" t="n">
        <x:v>23</x:v>
      </x:c>
      <x:c r="C42" s="133" t="str">
        <x:v>Query expansion, decomposition, and transformation</x:v>
      </x:c>
    </x:row>
    <x:row r="43" ht="28" customHeight="1">
      <x:c r="A43" s="147" t="str">
        <x:v>1.4.4</x:v>
      </x:c>
      <x:c r="B43" s="301" t="n">
        <x:v>24</x:v>
      </x:c>
      <x:c r="C43" s="133" t="str">
        <x:v>Vector-store ingestion, synchronization, refresh, and maintenance</x:v>
      </x:c>
    </x:row>
    <x:row r="44" ht="28" customHeight="1">
      <x:c r="A44" s="147" t="str">
        <x:v>1.4.5</x:v>
      </x:c>
      <x:c r="B44" s="301" t="n">
        <x:v>24</x:v>
      </x:c>
      <x:c r="C44" s="133" t="str">
        <x:v>Vector-store ingestion, synchronization, refresh, and maintenance</x:v>
      </x:c>
    </x:row>
    <x:row r="45" ht="28" customHeight="1">
      <x:c r="A45" s="147" t="str">
        <x:v>1.5.6</x:v>
      </x:c>
      <x:c r="B45" s="301" t="n">
        <x:v>25</x:v>
      </x:c>
      <x:c r="C45" s="133" t="str">
        <x:v>Retrieval APIs, function interfaces, and MCP access</x:v>
      </x:c>
    </x:row>
    <x:row r="46" ht="28" customHeight="1">
      <x:c r="A46" s="147" t="str">
        <x:v>5.1.6</x:v>
      </x:c>
      <x:c r="B46" s="301" t="n">
        <x:v>26</x:v>
      </x:c>
      <x:c r="C46" s="133" t="str">
        <x:v>RAG quality evaluation and retrieval troubleshooting</x:v>
      </x:c>
    </x:row>
    <x:row r="47" ht="28" customHeight="1">
      <x:c r="A47" s="147" t="str">
        <x:v>5.2.4</x:v>
      </x:c>
      <x:c r="B47" s="301" t="n">
        <x:v>26</x:v>
      </x:c>
      <x:c r="C47" s="133" t="str">
        <x:v>RAG quality evaluation and retrieval troubleshooting</x:v>
      </x:c>
    </x:row>
    <x:row r="48" ht="28" customHeight="1">
      <x:c r="A48" s="147" t="str">
        <x:v>1.6.2</x:v>
      </x:c>
      <x:c r="B48" s="301" t="n">
        <x:v>27</x:v>
      </x:c>
      <x:c r="C48" s="133" t="str">
        <x:v>Conversation context, history, intent, and state management</x:v>
      </x:c>
    </x:row>
    <x:row r="49" ht="28" customHeight="1">
      <x:c r="A49" s="147" t="str">
        <x:v>1.6.5</x:v>
      </x:c>
      <x:c r="B49" s="301" t="n">
        <x:v>28</x:v>
      </x:c>
      <x:c r="C49" s="133" t="str">
        <x:v>Advanced prompt engineering and iterative refinement</x:v>
      </x:c>
    </x:row>
    <x:row r="50" ht="28" customHeight="1">
      <x:c r="A50" s="147" t="str">
        <x:v>1.6.3</x:v>
      </x:c>
      <x:c r="B50" s="301" t="n">
        <x:v>29</x:v>
      </x:c>
      <x:c r="C50" s="133" t="str">
        <x:v>Prompt versioning, repositories, approvals, and governance</x:v>
      </x:c>
    </x:row>
    <x:row r="51" ht="28" customHeight="1">
      <x:c r="A51" s="147" t="str">
        <x:v>1.6.4</x:v>
      </x:c>
      <x:c r="B51" s="301" t="n">
        <x:v>30</x:v>
      </x:c>
      <x:c r="C51" s="133" t="str">
        <x:v>Prompt regression testing and quality assurance</x:v>
      </x:c>
    </x:row>
    <x:row r="52" ht="28" customHeight="1">
      <x:c r="A52" s="147" t="str">
        <x:v>5.1.4</x:v>
      </x:c>
      <x:c r="B52" s="301" t="n">
        <x:v>30</x:v>
      </x:c>
      <x:c r="C52" s="133" t="str">
        <x:v>Prompt regression testing and quality assurance</x:v>
      </x:c>
    </x:row>
    <x:row r="53" ht="28" customHeight="1">
      <x:c r="A53" s="147" t="str">
        <x:v>1.6.6</x:v>
      </x:c>
      <x:c r="B53" s="301" t="n">
        <x:v>31</x:v>
      </x:c>
      <x:c r="C53" s="133" t="str">
        <x:v>Prompt chaining, branching, and Bedrock Prompt Flows</x:v>
      </x:c>
    </x:row>
    <x:row r="54" ht="28" customHeight="1">
      <x:c r="A54" s="147" t="str">
        <x:v>2.4.1</x:v>
      </x:c>
      <x:c r="B54" s="301" t="n">
        <x:v>32</x:v>
      </x:c>
      <x:c r="C54" s="133" t="str">
        <x:v>Synchronous FM API integration</x:v>
      </x:c>
    </x:row>
    <x:row r="55" ht="28" customHeight="1">
      <x:c r="A55" s="147" t="str">
        <x:v>2.4.1</x:v>
      </x:c>
      <x:c r="B55" s="301" t="n">
        <x:v>33</x:v>
      </x:c>
      <x:c r="C55" s="133" t="str">
        <x:v>Asynchronous FM processing</x:v>
      </x:c>
    </x:row>
    <x:row r="56" ht="28" customHeight="1">
      <x:c r="A56" s="147" t="str">
        <x:v>2.4.2</x:v>
      </x:c>
      <x:c r="B56" s="301" t="n">
        <x:v>34</x:v>
      </x:c>
      <x:c r="C56" s="133" t="str">
        <x:v>Streaming responses, WebSockets, and server-sent events</x:v>
      </x:c>
    </x:row>
    <x:row r="57" ht="28" customHeight="1">
      <x:c r="A57" s="147" t="str">
        <x:v>1.3.3</x:v>
      </x:c>
      <x:c r="B57" s="301" t="n">
        <x:v>35</x:v>
      </x:c>
      <x:c r="C57" s="133" t="str">
        <x:v>Token limits, request validation, and response handling</x:v>
      </x:c>
    </x:row>
    <x:row r="58" ht="28" customHeight="1">
      <x:c r="A58" s="147" t="str">
        <x:v>2.5.1</x:v>
      </x:c>
      <x:c r="B58" s="301" t="n">
        <x:v>35</x:v>
      </x:c>
      <x:c r="C58" s="133" t="str">
        <x:v>Token limits, request validation, and response handling</x:v>
      </x:c>
    </x:row>
    <x:row r="59" ht="28" customHeight="1">
      <x:c r="A59" s="147" t="str">
        <x:v>5.2.1</x:v>
      </x:c>
      <x:c r="B59" s="301" t="n">
        <x:v>35</x:v>
      </x:c>
      <x:c r="C59" s="133" t="str">
        <x:v>Token limits, request validation, and response handling</x:v>
      </x:c>
    </x:row>
    <x:row r="60" ht="28" customHeight="1">
      <x:c r="A60" s="147" t="str">
        <x:v>2.4.3</x:v>
      </x:c>
      <x:c r="B60" s="301" t="n">
        <x:v>36</x:v>
      </x:c>
      <x:c r="C60" s="133" t="str">
        <x:v>Retries, exponential backoff, rate limiting, and timeouts</x:v>
      </x:c>
    </x:row>
    <x:row r="61" ht="28" customHeight="1">
      <x:c r="A61" s="147" t="str">
        <x:v>2.5.1</x:v>
      </x:c>
      <x:c r="B61" s="301" t="n">
        <x:v>36</x:v>
      </x:c>
      <x:c r="C61" s="133" t="str">
        <x:v>Retries, exponential backoff, rate limiting, and timeouts</x:v>
      </x:c>
    </x:row>
    <x:row r="62" ht="28" customHeight="1">
      <x:c r="A62" s="147" t="str">
        <x:v>1.2.3</x:v>
      </x:c>
      <x:c r="B62" s="301" t="n">
        <x:v>37</x:v>
      </x:c>
      <x:c r="C62" s="133" t="str">
        <x:v>Fallbacks, circuit breakers, and graceful degradation</x:v>
      </x:c>
    </x:row>
    <x:row r="63" ht="28" customHeight="1">
      <x:c r="A63" s="147" t="str">
        <x:v>2.4.3</x:v>
      </x:c>
      <x:c r="B63" s="301" t="n">
        <x:v>37</x:v>
      </x:c>
      <x:c r="C63" s="133" t="str">
        <x:v>Fallbacks, circuit breakers, and graceful degradation</x:v>
      </x:c>
    </x:row>
    <x:row r="64" ht="28" customHeight="1">
      <x:c r="A64" s="147" t="str">
        <x:v>2.4.3</x:v>
      </x:c>
      <x:c r="B64" s="301" t="n">
        <x:v>38</x:v>
      </x:c>
      <x:c r="C64" s="133" t="str">
        <x:v>Distributed tracing and FM API observability</x:v>
      </x:c>
    </x:row>
    <x:row r="65" ht="28" customHeight="1">
      <x:c r="A65" s="147" t="str">
        <x:v>2.5.6</x:v>
      </x:c>
      <x:c r="B65" s="301" t="n">
        <x:v>38</x:v>
      </x:c>
      <x:c r="C65" s="133" t="str">
        <x:v>Distributed tracing and FM API observability</x:v>
      </x:c>
    </x:row>
    <x:row r="66" ht="28" customHeight="1">
      <x:c r="A66" s="147" t="str">
        <x:v>4.3.1</x:v>
      </x:c>
      <x:c r="B66" s="301" t="n">
        <x:v>38</x:v>
      </x:c>
      <x:c r="C66" s="133" t="str">
        <x:v>Distributed tracing and FM API observability</x:v>
      </x:c>
    </x:row>
    <x:row r="67" ht="28" customHeight="1">
      <x:c r="A67" s="147" t="str">
        <x:v>1.2.1</x:v>
      </x:c>
      <x:c r="B67" s="301" t="n">
        <x:v>39</x:v>
      </x:c>
      <x:c r="C67" s="133" t="str">
        <x:v>Detailed model benchmarking and capability evaluation</x:v>
      </x:c>
    </x:row>
    <x:row r="68" ht="28" customHeight="1">
      <x:c r="A68" s="147" t="str">
        <x:v>5.1.2</x:v>
      </x:c>
      <x:c r="B68" s="301" t="n">
        <x:v>39</x:v>
      </x:c>
      <x:c r="C68" s="133" t="str">
        <x:v>Detailed model benchmarking and capability evaluation</x:v>
      </x:c>
    </x:row>
    <x:row r="69" ht="28" customHeight="1">
      <x:c r="A69" s="147" t="str">
        <x:v>1.2.1</x:v>
      </x:c>
      <x:c r="B69" s="301" t="n">
        <x:v>40</x:v>
      </x:c>
      <x:c r="C69" s="133" t="str">
        <x:v>Cost–quality–latency model-selection trade-offs</x:v>
      </x:c>
    </x:row>
    <x:row r="70" ht="28" customHeight="1">
      <x:c r="A70" s="147" t="str">
        <x:v>2.2.3</x:v>
      </x:c>
      <x:c r="B70" s="301" t="n">
        <x:v>40</x:v>
      </x:c>
      <x:c r="C70" s="133" t="str">
        <x:v>Cost–quality–latency model-selection trade-offs</x:v>
      </x:c>
    </x:row>
    <x:row r="71" ht="28" customHeight="1">
      <x:c r="A71" s="147" t="str">
        <x:v>4.1.2</x:v>
      </x:c>
      <x:c r="B71" s="301" t="n">
        <x:v>40</x:v>
      </x:c>
      <x:c r="C71" s="133" t="str">
        <x:v>Cost–quality–latency model-selection trade-offs</x:v>
      </x:c>
    </x:row>
    <x:row r="72" ht="28" customHeight="1">
      <x:c r="A72" s="147" t="str">
        <x:v>5.1.2</x:v>
      </x:c>
      <x:c r="B72" s="301" t="n">
        <x:v>40</x:v>
      </x:c>
      <x:c r="C72" s="133" t="str">
        <x:v>Cost–quality–latency model-selection trade-offs</x:v>
      </x:c>
    </x:row>
    <x:row r="73" ht="28" customHeight="1">
      <x:c r="A73" s="147" t="str">
        <x:v>1.2.2</x:v>
      </x:c>
      <x:c r="B73" s="301" t="n">
        <x:v>41</x:v>
      </x:c>
      <x:c r="C73" s="133" t="str">
        <x:v>Static and dynamic model routing</x:v>
      </x:c>
    </x:row>
    <x:row r="74" ht="28" customHeight="1">
      <x:c r="A74" s="147" t="str">
        <x:v>2.4.4</x:v>
      </x:c>
      <x:c r="B74" s="301" t="n">
        <x:v>41</x:v>
      </x:c>
      <x:c r="C74" s="133" t="str">
        <x:v>Static and dynamic model routing</x:v>
      </x:c>
    </x:row>
    <x:row r="75" ht="28" customHeight="1">
      <x:c r="A75" s="147" t="str">
        <x:v>2.1.4</x:v>
      </x:c>
      <x:c r="B75" s="301" t="n">
        <x:v>42</x:v>
      </x:c>
      <x:c r="C75" s="133" t="str">
        <x:v>Model cascading and specialized-model selection</x:v>
      </x:c>
    </x:row>
    <x:row r="76" ht="28" customHeight="1">
      <x:c r="A76" s="147" t="str">
        <x:v>2.2.3</x:v>
      </x:c>
      <x:c r="B76" s="301" t="n">
        <x:v>42</x:v>
      </x:c>
      <x:c r="C76" s="133" t="str">
        <x:v>Model cascading and specialized-model selection</x:v>
      </x:c>
    </x:row>
    <x:row r="77" ht="28" customHeight="1">
      <x:c r="A77" s="147" t="str">
        <x:v>1.2.3</x:v>
      </x:c>
      <x:c r="B77" s="301" t="n">
        <x:v>43</x:v>
      </x:c>
      <x:c r="C77" s="133" t="str">
        <x:v>Cross-Region inference and model resilience</x:v>
      </x:c>
    </x:row>
    <x:row r="78" ht="28" customHeight="1">
      <x:c r="A78" s="147" t="str">
        <x:v>2.2.1</x:v>
      </x:c>
      <x:c r="B78" s="301" t="n">
        <x:v>44</x:v>
      </x:c>
      <x:c r="C78" s="133" t="str">
        <x:v>On-demand and provisioned-throughput deployment</x:v>
      </x:c>
    </x:row>
    <x:row r="79" ht="28" customHeight="1">
      <x:c r="A79" s="147" t="str">
        <x:v>2.2.1</x:v>
      </x:c>
      <x:c r="B79" s="301" t="n">
        <x:v>45</x:v>
      </x:c>
      <x:c r="C79" s="133" t="str">
        <x:v>SageMaker AI model endpoints</x:v>
      </x:c>
    </x:row>
    <x:row r="80" ht="28" customHeight="1">
      <x:c r="A80" s="147" t="str">
        <x:v>2.2.2</x:v>
      </x:c>
      <x:c r="B80" s="301" t="n">
        <x:v>46</x:v>
      </x:c>
      <x:c r="C80" s="133" t="str">
        <x:v>LLM container, GPU, memory, loading, and token-processing requirements</x:v>
      </x:c>
    </x:row>
    <x:row r="81" ht="28" customHeight="1">
      <x:c r="A81" s="147" t="str">
        <x:v>1.2.4</x:v>
      </x:c>
      <x:c r="B81" s="301" t="n">
        <x:v>47</x:v>
      </x:c>
      <x:c r="C81" s="133" t="str">
        <x:v>Model customization, fine-tuning, LoRA, and adapters</x:v>
      </x:c>
    </x:row>
    <x:row r="82" ht="28" customHeight="1">
      <x:c r="A82" s="147" t="str">
        <x:v>1.2.4</x:v>
      </x:c>
      <x:c r="B82" s="301" t="n">
        <x:v>48</x:v>
      </x:c>
      <x:c r="C82" s="133" t="str">
        <x:v>Model Registry, versioning, rollout, rollback, retirement, and lifecycle management</x:v>
      </x:c>
    </x:row>
    <x:row r="83" ht="28" customHeight="1">
      <x:c r="A83" s="147" t="str">
        <x:v>5.1.9</x:v>
      </x:c>
      <x:c r="B83" s="301" t="n">
        <x:v>48</x:v>
      </x:c>
      <x:c r="C83" s="133" t="str">
        <x:v>Model Registry, versioning, rollout, rollback, retirement, and lifecycle management</x:v>
      </x:c>
    </x:row>
    <x:row r="84" ht="28" customHeight="1">
      <x:c r="A84" s="147" t="str">
        <x:v>2.5.1</x:v>
      </x:c>
      <x:c r="B84" s="301" t="n">
        <x:v>49</x:v>
      </x:c>
      <x:c r="C84" s="133" t="str">
        <x:v>GenAI application API design</x:v>
      </x:c>
    </x:row>
    <x:row r="85" ht="28" customHeight="1">
      <x:c r="A85" s="147" t="str">
        <x:v>2.5.2</x:v>
      </x:c>
      <x:c r="B85" s="301" t="n">
        <x:v>50</x:v>
      </x:c>
      <x:c r="C85" s="133" t="str">
        <x:v>UI, OpenAPI, Amplify, and low-code integration approaches</x:v>
      </x:c>
    </x:row>
    <x:row r="86" ht="28" customHeight="1">
      <x:c r="A86" s="147" t="str">
        <x:v>2.3.2</x:v>
      </x:c>
      <x:c r="B86" s="301" t="n">
        <x:v>51</x:v>
      </x:c>
      <x:c r="C86" s="133" t="str">
        <x:v>Business-application and document-processing integration</x:v>
      </x:c>
    </x:row>
    <x:row r="87" ht="28" customHeight="1">
      <x:c r="A87" s="147" t="str">
        <x:v>2.5.3</x:v>
      </x:c>
      <x:c r="B87" s="301" t="n">
        <x:v>51</x:v>
      </x:c>
      <x:c r="C87" s="133" t="str">
        <x:v>Business-application and document-processing integration</x:v>
      </x:c>
    </x:row>
    <x:row r="88" ht="28" customHeight="1">
      <x:c r="A88" s="147" t="str">
        <x:v>2.3.1</x:v>
      </x:c>
      <x:c r="B88" s="301" t="n">
        <x:v>52</x:v>
      </x:c>
      <x:c r="C88" s="133" t="str">
        <x:v>Event-driven GenAI application patterns</x:v>
      </x:c>
    </x:row>
    <x:row r="89" ht="28" customHeight="1">
      <x:c r="A89" s="147" t="str">
        <x:v>2.3.2</x:v>
      </x:c>
      <x:c r="B89" s="301" t="n">
        <x:v>52</x:v>
      </x:c>
      <x:c r="C89" s="133" t="str">
        <x:v>Event-driven GenAI application patterns</x:v>
      </x:c>
    </x:row>
    <x:row r="90" ht="28" customHeight="1">
      <x:c r="A90" s="147" t="str">
        <x:v>2.3.1</x:v>
      </x:c>
      <x:c r="B90" s="301" t="n">
        <x:v>53</x:v>
      </x:c>
      <x:c r="C90" s="133" t="str">
        <x:v>Legacy-system and enterprise-system integration</x:v>
      </x:c>
    </x:row>
    <x:row r="91" ht="28" customHeight="1">
      <x:c r="A91" s="147" t="str">
        <x:v>2.3.3</x:v>
      </x:c>
      <x:c r="B91" s="301" t="n">
        <x:v>54</x:v>
      </x:c>
      <x:c r="C91" s="133" t="str">
        <x:v>Identity federation and role-based FM and data access</x:v>
      </x:c>
    </x:row>
    <x:row r="92" ht="28" customHeight="1">
      <x:c r="A92" s="147" t="str">
        <x:v>2.3.4</x:v>
      </x:c>
      <x:c r="B92" s="301" t="n">
        <x:v>55</x:v>
      </x:c>
      <x:c r="C92" s="133" t="str">
        <x:v>Hybrid, on-premises, edge, and jurisdictional architectures</x:v>
      </x:c>
    </x:row>
    <x:row r="93" ht="28" customHeight="1">
      <x:c r="A93" s="147" t="str">
        <x:v>2.3.5</x:v>
      </x:c>
      <x:c r="B93" s="301" t="n">
        <x:v>56</x:v>
      </x:c>
      <x:c r="C93" s="133" t="str">
        <x:v>GenAI gateway architecture</x:v>
      </x:c>
    </x:row>
    <x:row r="94" ht="28" customHeight="1">
      <x:c r="A94" s="147" t="str">
        <x:v>2.3.5</x:v>
      </x:c>
      <x:c r="B94" s="301" t="n">
        <x:v>57</x:v>
      </x:c>
      <x:c r="C94" s="133" t="str">
        <x:v>Infrastructure as code</x:v>
      </x:c>
    </x:row>
    <x:row r="95" ht="28" customHeight="1">
      <x:c r="A95" s="147" t="str">
        <x:v>2.3.5</x:v>
      </x:c>
      <x:c r="B95" s="301" t="n">
        <x:v>58</x:v>
      </x:c>
      <x:c r="C95" s="133" t="str">
        <x:v>CI/CD for models, prompts, agents, and application components</x:v>
      </x:c>
    </x:row>
    <x:row r="96" ht="28" customHeight="1">
      <x:c r="A96" s="147" t="str">
        <x:v>2.3.5</x:v>
      </x:c>
      <x:c r="B96" s="301" t="n">
        <x:v>59</x:v>
      </x:c>
      <x:c r="C96" s="133" t="str">
        <x:v>Automated testing, security scanning, deployment gates, and rollback</x:v>
      </x:c>
    </x:row>
    <x:row r="97" ht="28" customHeight="1">
      <x:c r="A97" s="147" t="str">
        <x:v>5.1.4</x:v>
      </x:c>
      <x:c r="B97" s="301" t="n">
        <x:v>59</x:v>
      </x:c>
      <x:c r="C97" s="133" t="str">
        <x:v>Automated testing, security scanning, deployment gates, and rollback</x:v>
      </x:c>
    </x:row>
    <x:row r="98" ht="28" customHeight="1">
      <x:c r="A98" s="147" t="str">
        <x:v>5.1.9</x:v>
      </x:c>
      <x:c r="B98" s="301" t="n">
        <x:v>59</x:v>
      </x:c>
      <x:c r="C98" s="133" t="str">
        <x:v>Automated testing, security scanning, deployment gates, and rollback</x:v>
      </x:c>
    </x:row>
    <x:row r="99" ht="28" customHeight="1">
      <x:c r="A99" s="147" t="str">
        <x:v>2.5.4</x:v>
      </x:c>
      <x:c r="B99" s="301" t="n">
        <x:v>60</x:v>
      </x:c>
      <x:c r="C99" s="133" t="str">
        <x:v>GenAI developer tools and Amazon Q Developer</x:v>
      </x:c>
    </x:row>
    <x:row r="100" ht="28" customHeight="1">
      <x:c r="A100" s="147" t="str">
        <x:v>2.1.6</x:v>
      </x:c>
      <x:c r="B100" s="301" t="n">
        <x:v>61</x:v>
      </x:c>
      <x:c r="C100" s="133" t="str">
        <x:v>Function calling and tool-interface design</x:v>
      </x:c>
    </x:row>
    <x:row r="101" ht="28" customHeight="1">
      <x:c r="A101" s="147" t="str">
        <x:v>2.1.3</x:v>
      </x:c>
      <x:c r="B101" s="301" t="n">
        <x:v>62</x:v>
      </x:c>
      <x:c r="C101" s="133" t="str">
        <x:v>Tool schemas, parameter validation, authorization, and error handling</x:v>
      </x:c>
    </x:row>
    <x:row r="102" ht="28" customHeight="1">
      <x:c r="A102" s="147" t="str">
        <x:v>2.1.6</x:v>
      </x:c>
      <x:c r="B102" s="301" t="n">
        <x:v>62</x:v>
      </x:c>
      <x:c r="C102" s="133" t="str">
        <x:v>Tool schemas, parameter validation, authorization, and error handling</x:v>
      </x:c>
    </x:row>
    <x:row r="103" ht="28" customHeight="1">
      <x:c r="A103" s="147" t="str">
        <x:v>1.5.6</x:v>
      </x:c>
      <x:c r="B103" s="301" t="n">
        <x:v>63</x:v>
      </x:c>
      <x:c r="C103" s="133" t="str">
        <x:v>MCP clients and servers</x:v>
      </x:c>
    </x:row>
    <x:row r="104" ht="28" customHeight="1">
      <x:c r="A104" s="147" t="str">
        <x:v>2.1.1</x:v>
      </x:c>
      <x:c r="B104" s="301" t="n">
        <x:v>63</x:v>
      </x:c>
      <x:c r="C104" s="133" t="str">
        <x:v>MCP clients and servers</x:v>
      </x:c>
    </x:row>
    <x:row r="105" ht="28" customHeight="1">
      <x:c r="A105" s="147" t="str">
        <x:v>2.1.7</x:v>
      </x:c>
      <x:c r="B105" s="301" t="n">
        <x:v>63</x:v>
      </x:c>
      <x:c r="C105" s="133" t="str">
        <x:v>MCP clients and servers</x:v>
      </x:c>
    </x:row>
    <x:row r="106" ht="28" customHeight="1">
      <x:c r="A106" s="147" t="str">
        <x:v>2.1.1</x:v>
      </x:c>
      <x:c r="B106" s="301" t="n">
        <x:v>64</x:v>
      </x:c>
      <x:c r="C106" s="133" t="str">
        <x:v>Single-agent architecture and orchestration</x:v>
      </x:c>
    </x:row>
    <x:row r="107" ht="28" customHeight="1">
      <x:c r="A107" s="147" t="str">
        <x:v>2.5.5</x:v>
      </x:c>
      <x:c r="B107" s="301" t="n">
        <x:v>64</x:v>
      </x:c>
      <x:c r="C107" s="133" t="str">
        <x:v>Single-agent architecture and orchestration</x:v>
      </x:c>
    </x:row>
    <x:row r="108" ht="28" customHeight="1">
      <x:c r="A108" s="147" t="str">
        <x:v>2.1.2</x:v>
      </x:c>
      <x:c r="B108" s="301" t="n">
        <x:v>65</x:v>
      </x:c>
      <x:c r="C108" s="133" t="str">
        <x:v>Agent planning, task decomposition, and structured reasoning</x:v>
      </x:c>
    </x:row>
    <x:row r="109" ht="28" customHeight="1">
      <x:c r="A109" s="147" t="str">
        <x:v>2.1.1</x:v>
      </x:c>
      <x:c r="B109" s="301" t="n">
        <x:v>66</x:v>
      </x:c>
      <x:c r="C109" s="133" t="str">
        <x:v>Agent memory and state management</x:v>
      </x:c>
    </x:row>
    <x:row r="110" ht="28" customHeight="1">
      <x:c r="A110" s="147" t="str">
        <x:v>2.1.6</x:v>
      </x:c>
      <x:c r="B110" s="301" t="n">
        <x:v>67</x:v>
      </x:c>
      <x:c r="C110" s="133" t="str">
        <x:v>Tool-use reliability and failure recovery</x:v>
      </x:c>
    </x:row>
    <x:row r="111" ht="28" customHeight="1">
      <x:c r="A111" s="147" t="str">
        <x:v>2.1.3</x:v>
      </x:c>
      <x:c r="B111" s="301" t="n">
        <x:v>68</x:v>
      </x:c>
      <x:c r="C111" s="133" t="str">
        <x:v>Agent stopping conditions, timeouts, boundaries, and circuit breakers</x:v>
      </x:c>
    </x:row>
    <x:row r="112" ht="28" customHeight="1">
      <x:c r="A112" s="147" t="str">
        <x:v>2.1.5</x:v>
      </x:c>
      <x:c r="B112" s="301" t="n">
        <x:v>69</x:v>
      </x:c>
      <x:c r="C112" s="133" t="str">
        <x:v>Human-in-the-loop review, approval, escalation, and feedback</x:v>
      </x:c>
    </x:row>
    <x:row r="113" ht="28" customHeight="1">
      <x:c r="A113" s="147" t="str">
        <x:v>2.1.4</x:v>
      </x:c>
      <x:c r="B113" s="301" t="n">
        <x:v>70</x:v>
      </x:c>
      <x:c r="C113" s="133" t="str">
        <x:v>Specialized-model and agent coordination</x:v>
      </x:c>
    </x:row>
    <x:row r="114" ht="28" customHeight="1">
      <x:c r="A114" s="147" t="str">
        <x:v>2.1.1</x:v>
      </x:c>
      <x:c r="B114" s="301" t="n">
        <x:v>71</x:v>
      </x:c>
      <x:c r="C114" s="133" t="str">
        <x:v>Multi-agent systems</x:v>
      </x:c>
    </x:row>
    <x:row r="115" ht="28" customHeight="1">
      <x:c r="A115" s="147" t="str">
        <x:v>2.1.4</x:v>
      </x:c>
      <x:c r="B115" s="301" t="n">
        <x:v>71</x:v>
      </x:c>
      <x:c r="C115" s="133" t="str">
        <x:v>Multi-agent systems</x:v>
      </x:c>
    </x:row>
    <x:row r="116" ht="28" customHeight="1">
      <x:c r="A116" s="147" t="str">
        <x:v>2.5.5</x:v>
      </x:c>
      <x:c r="B116" s="301" t="n">
        <x:v>71</x:v>
      </x:c>
      <x:c r="C116" s="133" t="str">
        <x:v>Multi-agent systems</x:v>
      </x:c>
    </x:row>
    <x:row r="117" ht="28" customHeight="1">
      <x:c r="A117" s="147" t="str">
        <x:v>3.4.1</x:v>
      </x:c>
      <x:c r="B117" s="301" t="n">
        <x:v>72</x:v>
      </x:c>
      <x:c r="C117" s="133" t="str">
        <x:v>Agent tracing and observability</x:v>
      </x:c>
    </x:row>
    <x:row r="118" ht="28" customHeight="1">
      <x:c r="A118" s="147" t="str">
        <x:v>4.3.4</x:v>
      </x:c>
      <x:c r="B118" s="301" t="n">
        <x:v>72</x:v>
      </x:c>
      <x:c r="C118" s="133" t="str">
        <x:v>Agent tracing and observability</x:v>
      </x:c>
    </x:row>
    <x:row r="119" ht="28" customHeight="1">
      <x:c r="A119" s="147" t="str">
        <x:v>5.1.7</x:v>
      </x:c>
      <x:c r="B119" s="301" t="n">
        <x:v>73</x:v>
      </x:c>
      <x:c r="C119" s="133" t="str">
        <x:v>Agent evaluation and task-completion measurement</x:v>
      </x:c>
    </x:row>
    <x:row r="120" ht="28" customHeight="1">
      <x:c r="A120" s="147" t="str">
        <x:v>3.1.1</x:v>
      </x:c>
      <x:c r="B120" s="301" t="n">
        <x:v>74</x:v>
      </x:c>
      <x:c r="C120" s="133" t="str">
        <x:v>Input content filtering and moderation</x:v>
      </x:c>
    </x:row>
    <x:row r="121" ht="28" customHeight="1">
      <x:c r="A121" s="147" t="str">
        <x:v>3.1.2</x:v>
      </x:c>
      <x:c r="B121" s="301" t="n">
        <x:v>75</x:v>
      </x:c>
      <x:c r="C121" s="133" t="str">
        <x:v>Output filtering and moderation</x:v>
      </x:c>
    </x:row>
    <x:row r="122" ht="28" customHeight="1">
      <x:c r="A122" s="147" t="str">
        <x:v>3.1.3</x:v>
      </x:c>
      <x:c r="B122" s="301" t="n">
        <x:v>76</x:v>
      </x:c>
      <x:c r="C122" s="133" t="str">
        <x:v>Grounding, factual verification, confidence, and hallucination reduction</x:v>
      </x:c>
    </x:row>
    <x:row r="123" ht="28" customHeight="1">
      <x:c r="A123" s="147" t="str">
        <x:v>3.1.2</x:v>
      </x:c>
      <x:c r="B123" s="301" t="n">
        <x:v>77</x:v>
      </x:c>
      <x:c r="C123" s="133" t="str">
        <x:v>Structured and deterministic output controls</x:v>
      </x:c>
    </x:row>
    <x:row r="124" ht="28" customHeight="1">
      <x:c r="A124" s="147" t="str">
        <x:v>3.1.3</x:v>
      </x:c>
      <x:c r="B124" s="301" t="n">
        <x:v>77</x:v>
      </x:c>
      <x:c r="C124" s="133" t="str">
        <x:v>Structured and deterministic output controls</x:v>
      </x:c>
    </x:row>
    <x:row r="125" ht="28" customHeight="1">
      <x:c r="A125" s="147" t="str">
        <x:v>3.1.5</x:v>
      </x:c>
      <x:c r="B125" s="301" t="n">
        <x:v>78</x:v>
      </x:c>
      <x:c r="C125" s="133" t="str">
        <x:v>Prompt-injection and jailbreak threats</x:v>
      </x:c>
    </x:row>
    <x:row r="126" ht="28" customHeight="1">
      <x:c r="A126" s="147" t="str">
        <x:v>3.1.5</x:v>
      </x:c>
      <x:c r="B126" s="301" t="n">
        <x:v>79</x:v>
      </x:c>
      <x:c r="C126" s="133" t="str">
        <x:v>Adversarial testing and safety classifiers</x:v>
      </x:c>
    </x:row>
    <x:row r="127" ht="28" customHeight="1">
      <x:c r="A127" s="147" t="str">
        <x:v>3.1.4</x:v>
      </x:c>
      <x:c r="B127" s="301" t="n">
        <x:v>80</x:v>
      </x:c>
      <x:c r="C127" s="133" t="str">
        <x:v>Defense-in-depth GenAI safety architecture</x:v>
      </x:c>
    </x:row>
    <x:row r="128" ht="28" customHeight="1">
      <x:c r="A128" s="147" t="str">
        <x:v>3.2.1</x:v>
      </x:c>
      <x:c r="B128" s="301" t="n">
        <x:v>81</x:v>
      </x:c>
      <x:c r="C128" s="133" t="str">
        <x:v>VPC endpoints and protected AI environments</x:v>
      </x:c>
    </x:row>
    <x:row r="129" ht="28" customHeight="1">
      <x:c r="A129" s="147" t="str">
        <x:v>2.3.3</x:v>
      </x:c>
      <x:c r="B129" s="301" t="n">
        <x:v>82</x:v>
      </x:c>
      <x:c r="C129" s="133" t="str">
        <x:v>IAM and granular data access for GenAI</x:v>
      </x:c>
    </x:row>
    <x:row r="130" ht="28" customHeight="1">
      <x:c r="A130" s="147" t="str">
        <x:v>3.2.1</x:v>
      </x:c>
      <x:c r="B130" s="301" t="n">
        <x:v>82</x:v>
      </x:c>
      <x:c r="C130" s="133" t="str">
        <x:v>IAM and granular data access for GenAI</x:v>
      </x:c>
    </x:row>
    <x:row r="131" ht="28" customHeight="1">
      <x:c r="A131" s="147" t="str">
        <x:v>3.2.2</x:v>
      </x:c>
      <x:c r="B131" s="301" t="n">
        <x:v>83</x:v>
      </x:c>
      <x:c r="C131" s="133" t="str">
        <x:v>PII and sensitive-data discovery</x:v>
      </x:c>
    </x:row>
    <x:row r="132" ht="28" customHeight="1">
      <x:c r="A132" s="147" t="str">
        <x:v>3.2.3</x:v>
      </x:c>
      <x:c r="B132" s="301" t="n">
        <x:v>84</x:v>
      </x:c>
      <x:c r="C132" s="133" t="str">
        <x:v>Data masking, anonymization, and redaction</x:v>
      </x:c>
    </x:row>
    <x:row r="133" ht="28" customHeight="1">
      <x:c r="A133" s="147" t="str">
        <x:v>3.2.2</x:v>
      </x:c>
      <x:c r="B133" s="301" t="n">
        <x:v>85</x:v>
      </x:c>
      <x:c r="C133" s="133" t="str">
        <x:v>Data retention, logging privacy, and lifecycle controls</x:v>
      </x:c>
    </x:row>
    <x:row r="134" ht="28" customHeight="1">
      <x:c r="A134" s="147" t="str">
        <x:v>3.3.1</x:v>
      </x:c>
      <x:c r="B134" s="301" t="n">
        <x:v>86</x:v>
      </x:c>
      <x:c r="C134" s="133" t="str">
        <x:v>Data lineage and source attribution</x:v>
      </x:c>
    </x:row>
    <x:row r="135" ht="28" customHeight="1">
      <x:c r="A135" s="147" t="str">
        <x:v>3.3.2</x:v>
      </x:c>
      <x:c r="B135" s="301" t="n">
        <x:v>86</x:v>
      </x:c>
      <x:c r="C135" s="133" t="str">
        <x:v>Data lineage and source attribution</x:v>
      </x:c>
    </x:row>
    <x:row r="136" ht="28" customHeight="1">
      <x:c r="A136" s="147" t="str">
        <x:v>3.3.1</x:v>
      </x:c>
      <x:c r="B136" s="301" t="n">
        <x:v>87</x:v>
      </x:c>
      <x:c r="C136" s="133" t="str">
        <x:v>Model cards and model documentation</x:v>
      </x:c>
    </x:row>
    <x:row r="137" ht="28" customHeight="1">
      <x:c r="A137" s="147" t="str">
        <x:v>3.4.3</x:v>
      </x:c>
      <x:c r="B137" s="301" t="n">
        <x:v>87</x:v>
      </x:c>
      <x:c r="C137" s="133" t="str">
        <x:v>Model cards and model documentation</x:v>
      </x:c>
    </x:row>
    <x:row r="138" ht="28" customHeight="1">
      <x:c r="A138" s="147" t="str">
        <x:v>3.3.1</x:v>
      </x:c>
      <x:c r="B138" s="301" t="n">
        <x:v>88</x:v>
      </x:c>
      <x:c r="C138" s="133" t="str">
        <x:v>Audit logging and decision traceability</x:v>
      </x:c>
    </x:row>
    <x:row r="139" ht="28" customHeight="1">
      <x:c r="A139" s="147" t="str">
        <x:v>3.3.2</x:v>
      </x:c>
      <x:c r="B139" s="301" t="n">
        <x:v>88</x:v>
      </x:c>
      <x:c r="C139" s="133" t="str">
        <x:v>Audit logging and decision traceability</x:v>
      </x:c>
    </x:row>
    <x:row r="140" ht="28" customHeight="1">
      <x:c r="A140" s="147" t="str">
        <x:v>3.3.3</x:v>
      </x:c>
      <x:c r="B140" s="301" t="n">
        <x:v>89</x:v>
      </x:c>
      <x:c r="C140" s="133" t="str">
        <x:v>Organizational AI governance and accountability</x:v>
      </x:c>
    </x:row>
    <x:row r="141" ht="28" customHeight="1">
      <x:c r="A141" s="147" t="str">
        <x:v>3.3.3</x:v>
      </x:c>
      <x:c r="B141" s="301" t="n">
        <x:v>90</x:v>
      </x:c>
      <x:c r="C141" s="133" t="str">
        <x:v>Policy-to-control mapping</x:v>
      </x:c>
    </x:row>
    <x:row r="142" ht="28" customHeight="1">
      <x:c r="A142" s="147" t="str">
        <x:v>3.4.3</x:v>
      </x:c>
      <x:c r="B142" s="301" t="n">
        <x:v>90</x:v>
      </x:c>
      <x:c r="C142" s="133" t="str">
        <x:v>Policy-to-control mapping</x:v>
      </x:c>
    </x:row>
    <x:row r="143" ht="28" customHeight="1">
      <x:c r="A143" s="147" t="str">
        <x:v>3.3.4</x:v>
      </x:c>
      <x:c r="B143" s="301" t="n">
        <x:v>91</x:v>
      </x:c>
      <x:c r="C143" s="133" t="str">
        <x:v>Continuous policy, misuse, bias, and drift monitoring</x:v>
      </x:c>
    </x:row>
    <x:row r="144" ht="28" customHeight="1">
      <x:c r="A144" s="147" t="str">
        <x:v>3.4.1</x:v>
      </x:c>
      <x:c r="B144" s="301" t="n">
        <x:v>92</x:v>
      </x:c>
      <x:c r="C144" s="133" t="str">
        <x:v>Transparency, evidence presentation, and uncertainty communication</x:v>
      </x:c>
    </x:row>
    <x:row r="145" ht="28" customHeight="1">
      <x:c r="A145" s="147" t="str">
        <x:v>3.4.2</x:v>
      </x:c>
      <x:c r="B145" s="301" t="n">
        <x:v>93</x:v>
      </x:c>
      <x:c r="C145" s="133" t="str">
        <x:v>Fairness metrics and subgroup evaluation</x:v>
      </x:c>
    </x:row>
    <x:row r="146" ht="28" customHeight="1">
      <x:c r="A146" s="147" t="str">
        <x:v>3.4.3</x:v>
      </x:c>
      <x:c r="B146" s="301" t="n">
        <x:v>94</x:v>
      </x:c>
      <x:c r="C146" s="133" t="str">
        <x:v>Responsible-AI policy enforcement</x:v>
      </x:c>
    </x:row>
    <x:row r="147" ht="28" customHeight="1">
      <x:c r="A147" s="147" t="str">
        <x:v>3.3.4</x:v>
      </x:c>
      <x:c r="B147" s="301" t="n">
        <x:v>95</x:v>
      </x:c>
      <x:c r="C147" s="133" t="str">
        <x:v>Regulatory readiness and governance evidence</x:v>
      </x:c>
    </x:row>
    <x:row r="148" ht="28" customHeight="1">
      <x:c r="A148" s="147" t="str">
        <x:v>3.4.3</x:v>
      </x:c>
      <x:c r="B148" s="301" t="n">
        <x:v>95</x:v>
      </x:c>
      <x:c r="C148" s="133" t="str">
        <x:v>Regulatory readiness and governance evidence</x:v>
      </x:c>
    </x:row>
    <x:row r="149" ht="28" customHeight="1">
      <x:c r="A149" s="147" t="str">
        <x:v>4.1.1</x:v>
      </x:c>
      <x:c r="B149" s="301" t="n">
        <x:v>96</x:v>
      </x:c>
      <x:c r="C149" s="133" t="str">
        <x:v>Token estimation, tracking, pruning, and prompt compression</x:v>
      </x:c>
    </x:row>
    <x:row r="150" ht="28" customHeight="1">
      <x:c r="A150" s="147" t="str">
        <x:v>4.1.1</x:v>
      </x:c>
      <x:c r="B150" s="301" t="n">
        <x:v>97</x:v>
      </x:c>
      <x:c r="C150" s="133" t="str">
        <x:v>Response-size and context-window optimization</x:v>
      </x:c>
    </x:row>
    <x:row r="151" ht="28" customHeight="1">
      <x:c r="A151" s="147" t="str">
        <x:v>4.1.2</x:v>
      </x:c>
      <x:c r="B151" s="301" t="n">
        <x:v>98</x:v>
      </x:c>
      <x:c r="C151" s="133" t="str">
        <x:v>Cost-effective model selection and tiered model use</x:v>
      </x:c>
    </x:row>
    <x:row r="152" ht="28" customHeight="1">
      <x:c r="A152" s="147" t="str">
        <x:v>2.2.3</x:v>
      </x:c>
      <x:c r="B152" s="301" t="n">
        <x:v>98</x:v>
      </x:c>
      <x:c r="C152" s="133" t="str">
        <x:v>Cost-effective model selection and tiered model use</x:v>
      </x:c>
    </x:row>
    <x:row r="153" ht="28" customHeight="1">
      <x:c r="A153" s="147" t="str">
        <x:v>4.1.4</x:v>
      </x:c>
      <x:c r="B153" s="301" t="n">
        <x:v>99</x:v>
      </x:c>
      <x:c r="C153" s="133" t="str">
        <x:v>Semantic, prompt, deterministic, and edge caching</x:v>
      </x:c>
    </x:row>
    <x:row r="154" ht="28" customHeight="1">
      <x:c r="A154" s="147" t="str">
        <x:v>4.1.3</x:v>
      </x:c>
      <x:c r="B154" s="301" t="n">
        <x:v>100</x:v>
      </x:c>
      <x:c r="C154" s="133" t="str">
        <x:v>Batching and batch inference</x:v>
      </x:c>
    </x:row>
    <x:row r="155" ht="28" customHeight="1">
      <x:c r="A155" s="147" t="str">
        <x:v>4.2.3</x:v>
      </x:c>
      <x:c r="B155" s="301" t="n">
        <x:v>100</x:v>
      </x:c>
      <x:c r="C155" s="133" t="str">
        <x:v>Batching and batch inference</x:v>
      </x:c>
    </x:row>
    <x:row r="156" ht="28" customHeight="1">
      <x:c r="A156" s="147" t="str">
        <x:v>4.1.3</x:v>
      </x:c>
      <x:c r="B156" s="301" t="n">
        <x:v>101</x:v>
      </x:c>
      <x:c r="C156" s="133" t="str">
        <x:v>Throughput and concurrency management</x:v>
      </x:c>
    </x:row>
    <x:row r="157" ht="28" customHeight="1">
      <x:c r="A157" s="147" t="str">
        <x:v>4.2.3</x:v>
      </x:c>
      <x:c r="B157" s="301" t="n">
        <x:v>101</x:v>
      </x:c>
      <x:c r="C157" s="133" t="str">
        <x:v>Throughput and concurrency management</x:v>
      </x:c>
    </x:row>
    <x:row r="158" ht="28" customHeight="1">
      <x:c r="A158" s="147" t="str">
        <x:v>4.1.3</x:v>
      </x:c>
      <x:c r="B158" s="301" t="n">
        <x:v>102</x:v>
      </x:c>
      <x:c r="C158" s="133" t="str">
        <x:v>Capacity planning, provisioned throughput, and autoscaling</x:v>
      </x:c>
    </x:row>
    <x:row r="159" ht="28" customHeight="1">
      <x:c r="A159" s="147" t="str">
        <x:v>4.2.5</x:v>
      </x:c>
      <x:c r="B159" s="301" t="n">
        <x:v>102</x:v>
      </x:c>
      <x:c r="C159" s="133" t="str">
        <x:v>Capacity planning, provisioned throughput, and autoscaling</x:v>
      </x:c>
    </x:row>
    <x:row r="160" ht="28" customHeight="1">
      <x:c r="A160" s="147" t="str">
        <x:v>4.2.1</x:v>
      </x:c>
      <x:c r="B160" s="301" t="n">
        <x:v>103</x:v>
      </x:c>
      <x:c r="C160" s="133" t="str">
        <x:v>Latency decomposition, streaming, parallelism, and precomputation</x:v>
      </x:c>
    </x:row>
    <x:row r="161" ht="28" customHeight="1">
      <x:c r="A161" s="147" t="str">
        <x:v>4.2.2</x:v>
      </x:c>
      <x:c r="B161" s="301" t="n">
        <x:v>104</x:v>
      </x:c>
      <x:c r="C161" s="133" t="str">
        <x:v>Retrieval and vector-index performance optimization</x:v>
      </x:c>
    </x:row>
    <x:row r="162" ht="28" customHeight="1">
      <x:c r="A162" s="147" t="str">
        <x:v>4.2.6</x:v>
      </x:c>
      <x:c r="B162" s="301" t="n">
        <x:v>104</x:v>
      </x:c>
      <x:c r="C162" s="133" t="str">
        <x:v>Retrieval and vector-index performance optimization</x:v>
      </x:c>
    </x:row>
    <x:row r="163" ht="28" customHeight="1">
      <x:c r="A163" s="147" t="str">
        <x:v>4.2.4</x:v>
      </x:c>
      <x:c r="B163" s="301" t="n">
        <x:v>105</x:v>
      </x:c>
      <x:c r="C163" s="133" t="str">
        <x:v>FM parameter optimization and A/B testing</x:v>
      </x:c>
    </x:row>
    <x:row r="164" ht="28" customHeight="1">
      <x:c r="A164" s="147" t="str">
        <x:v>4.2.6</x:v>
      </x:c>
      <x:c r="B164" s="301" t="n">
        <x:v>106</x:v>
      </x:c>
      <x:c r="C164" s="133" t="str">
        <x:v>End-to-end GenAI workflow profiling</x:v>
      </x:c>
    </x:row>
    <x:row r="165" ht="28" customHeight="1">
      <x:c r="A165" s="147" t="str">
        <x:v>4.3.1</x:v>
      </x:c>
      <x:c r="B165" s="301" t="n">
        <x:v>107</x:v>
      </x:c>
      <x:c r="C165" s="133" t="str">
        <x:v>GenAI operational metrics, logs, traces, and dashboards</x:v>
      </x:c>
    </x:row>
    <x:row r="166" ht="28" customHeight="1">
      <x:c r="A166" s="147" t="str">
        <x:v>4.3.2</x:v>
      </x:c>
      <x:c r="B166" s="301" t="n">
        <x:v>108</x:v>
      </x:c>
      <x:c r="C166" s="133" t="str">
        <x:v>Token, cost, latency, throughput, and utilization monitoring</x:v>
      </x:c>
    </x:row>
    <x:row r="167" ht="28" customHeight="1">
      <x:c r="A167" s="147" t="str">
        <x:v>4.3.2</x:v>
      </x:c>
      <x:c r="B167" s="301" t="n">
        <x:v>109</x:v>
      </x:c>
      <x:c r="C167" s="133" t="str">
        <x:v>Prompt effectiveness, response quality, hallucination, and drift monitoring</x:v>
      </x:c>
    </x:row>
    <x:row r="168" ht="28" customHeight="1">
      <x:c r="A168" s="147" t="str">
        <x:v>4.3.6</x:v>
      </x:c>
      <x:c r="B168" s="301" t="n">
        <x:v>109</x:v>
      </x:c>
      <x:c r="C168" s="133" t="str">
        <x:v>Prompt effectiveness, response quality, hallucination, and drift monitoring</x:v>
      </x:c>
    </x:row>
    <x:row r="169" ht="28" customHeight="1">
      <x:c r="A169" s="147" t="str">
        <x:v>4.3.5</x:v>
      </x:c>
      <x:c r="B169" s="301" t="n">
        <x:v>110</x:v>
      </x:c>
      <x:c r="C169" s="133" t="str">
        <x:v>Vector-store monitoring and index-health management</x:v>
      </x:c>
    </x:row>
    <x:row r="170" ht="28" customHeight="1">
      <x:c r="A170" s="147" t="str">
        <x:v>4.3.4</x:v>
      </x:c>
      <x:c r="B170" s="301" t="n">
        <x:v>111</x:v>
      </x:c>
      <x:c r="C170" s="133" t="str">
        <x:v>Tool-call and multi-agent coordination monitoring</x:v>
      </x:c>
    </x:row>
    <x:row r="171" ht="28" customHeight="1">
      <x:c r="A171" s="147" t="str">
        <x:v>4.3.3</x:v>
      </x:c>
      <x:c r="B171" s="301" t="n">
        <x:v>112</x:v>
      </x:c>
      <x:c r="C171" s="133" t="str">
        <x:v>Business, compliance, forensic, and user-impact observability</x:v>
      </x:c>
    </x:row>
    <x:row r="172" ht="28" customHeight="1">
      <x:c r="A172" s="147" t="str">
        <x:v>5.1.8</x:v>
      </x:c>
      <x:c r="B172" s="301" t="n">
        <x:v>112</x:v>
      </x:c>
      <x:c r="C172" s="133" t="str">
        <x:v>Business, compliance, forensic, and user-impact observability</x:v>
      </x:c>
    </x:row>
    <x:row r="173" ht="28" customHeight="1">
      <x:c r="A173" s="147" t="str">
        <x:v>5.1.1</x:v>
      </x:c>
      <x:c r="B173" s="301" t="n">
        <x:v>113</x:v>
      </x:c>
      <x:c r="C173" s="133" t="str">
        <x:v>Model-output quality metrics</x:v>
      </x:c>
    </x:row>
    <x:row r="174" ht="28" customHeight="1">
      <x:c r="A174" s="147" t="str">
        <x:v>5.1.2</x:v>
      </x:c>
      <x:c r="B174" s="301" t="n">
        <x:v>114</x:v>
      </x:c>
      <x:c r="C174" s="133" t="str">
        <x:v>Bedrock Model Evaluations</x:v>
      </x:c>
    </x:row>
    <x:row r="175" ht="28" customHeight="1">
      <x:c r="A175" s="147" t="str">
        <x:v>5.1.3</x:v>
      </x:c>
      <x:c r="B175" s="301" t="n">
        <x:v>115</x:v>
      </x:c>
      <x:c r="C175" s="133" t="str">
        <x:v>Human evaluation and annotation workflows</x:v>
      </x:c>
    </x:row>
    <x:row r="176" ht="28" customHeight="1">
      <x:c r="A176" s="147" t="str">
        <x:v>5.1.5</x:v>
      </x:c>
      <x:c r="B176" s="301" t="n">
        <x:v>115</x:v>
      </x:c>
      <x:c r="C176" s="133" t="str">
        <x:v>Human evaluation and annotation workflows</x:v>
      </x:c>
    </x:row>
    <x:row r="177" ht="28" customHeight="1">
      <x:c r="A177" s="147" t="str">
        <x:v>5.1.5</x:v>
      </x:c>
      <x:c r="B177" s="301" t="n">
        <x:v>116</x:v>
      </x:c>
      <x:c r="C177" s="133" t="str">
        <x:v>LLM-as-a-judge evaluation</x:v>
      </x:c>
    </x:row>
    <x:row r="178" ht="28" customHeight="1">
      <x:c r="A178" s="147" t="str">
        <x:v>5.1.5</x:v>
      </x:c>
      <x:c r="B178" s="301" t="n">
        <x:v>117</x:v>
      </x:c>
      <x:c r="C178" s="133" t="str">
        <x:v>RAG evaluation</x:v>
      </x:c>
    </x:row>
    <x:row r="179" ht="28" customHeight="1">
      <x:c r="A179" s="147" t="str">
        <x:v>5.1.6</x:v>
      </x:c>
      <x:c r="B179" s="301" t="n">
        <x:v>117</x:v>
      </x:c>
      <x:c r="C179" s="133" t="str">
        <x:v>RAG evaluation</x:v>
      </x:c>
    </x:row>
    <x:row r="180" ht="28" customHeight="1">
      <x:c r="A180" s="147" t="str">
        <x:v>5.1.7</x:v>
      </x:c>
      <x:c r="B180" s="301" t="n">
        <x:v>118</x:v>
      </x:c>
      <x:c r="C180" s="133" t="str">
        <x:v>Agent evaluation</x:v>
      </x:c>
    </x:row>
    <x:row r="181" ht="28" customHeight="1">
      <x:c r="A181" s="147" t="str">
        <x:v>5.1.2</x:v>
      </x:c>
      <x:c r="B181" s="301" t="n">
        <x:v>119</x:v>
      </x:c>
      <x:c r="C181" s="133" t="str">
        <x:v>A/B testing, canary testing, and multi-model comparison</x:v>
      </x:c>
    </x:row>
    <x:row r="182" ht="28" customHeight="1">
      <x:c r="A182" s="147" t="str">
        <x:v>5.1.4</x:v>
      </x:c>
      <x:c r="B182" s="301" t="n">
        <x:v>120</x:v>
      </x:c>
      <x:c r="C182" s="133" t="str">
        <x:v>Continuous evaluation and regression testing</x:v>
      </x:c>
    </x:row>
    <x:row r="183" ht="28" customHeight="1">
      <x:c r="A183" s="147" t="str">
        <x:v>5.1.9</x:v>
      </x:c>
      <x:c r="B183" s="301" t="n">
        <x:v>121</x:v>
      </x:c>
      <x:c r="C183" s="133" t="str">
        <x:v>Synthetic-user and deployment-validation workflows</x:v>
      </x:c>
    </x:row>
    <x:row r="184" ht="28" customHeight="1">
      <x:c r="A184" s="147" t="str">
        <x:v>5.2.1</x:v>
      </x:c>
      <x:c r="B184" s="301" t="n">
        <x:v>122</x:v>
      </x:c>
      <x:c r="C184" s="133" t="str">
        <x:v>Context-window, truncation, and content-handling troubleshooting</x:v>
      </x:c>
    </x:row>
    <x:row r="185" ht="28" customHeight="1">
      <x:c r="A185" s="147" t="str">
        <x:v>5.2.2</x:v>
      </x:c>
      <x:c r="B185" s="301" t="n">
        <x:v>123</x:v>
      </x:c>
      <x:c r="C185" s="133" t="str">
        <x:v>FM API and integration troubleshooting</x:v>
      </x:c>
    </x:row>
    <x:row r="186" ht="28" customHeight="1">
      <x:c r="A186" s="147" t="str">
        <x:v>2.5.6</x:v>
      </x:c>
      <x:c r="B186" s="301" t="n">
        <x:v>123</x:v>
      </x:c>
      <x:c r="C186" s="133" t="str">
        <x:v>FM API and integration troubleshooting</x:v>
      </x:c>
    </x:row>
    <x:row r="187" ht="28" customHeight="1">
      <x:c r="A187" s="147" t="str">
        <x:v>5.2.3</x:v>
      </x:c>
      <x:c r="B187" s="301" t="n">
        <x:v>124</x:v>
      </x:c>
      <x:c r="C187" s="133" t="str">
        <x:v>Prompt troubleshooting and maintenance</x:v>
      </x:c>
    </x:row>
    <x:row r="188" ht="28" customHeight="1">
      <x:c r="A188" s="147" t="str">
        <x:v>5.2.5</x:v>
      </x:c>
      <x:c r="B188" s="301" t="n">
        <x:v>124</x:v>
      </x:c>
      <x:c r="C188" s="133" t="str">
        <x:v>Prompt troubleshooting and maintenance</x:v>
      </x:c>
    </x:row>
    <x:row r="189" ht="28" customHeight="1">
      <x:c r="A189" s="147" t="str">
        <x:v>5.2.4</x:v>
      </x:c>
      <x:c r="B189" s="301" t="n">
        <x:v>125</x:v>
      </x:c>
      <x:c r="C189" s="133" t="str">
        <x:v>Embedding, chunking, indexing, and retrieval troubleshooting</x:v>
      </x:c>
    </x:row>
    <x:row r="190" ht="28" customHeight="1">
      <x:c r="A190" s="147" t="str">
        <x:v>5.1.7</x:v>
      </x:c>
      <x:c r="B190" s="301" t="n">
        <x:v>126</x:v>
      </x:c>
      <x:c r="C190" s="133" t="str">
        <x:v>Agent and tool-use troubleshooting</x:v>
      </x:c>
    </x:row>
    <x:row r="191" ht="28" customHeight="1">
      <x:c r="A191" s="147" t="str">
        <x:v>4.3.4</x:v>
      </x:c>
      <x:c r="B191" s="301" t="n">
        <x:v>126</x:v>
      </x:c>
      <x:c r="C191" s="133" t="str">
        <x:v>Agent and tool-use troubleshooting</x:v>
      </x:c>
    </x:row>
    <x:row r="192" ht="28" customHeight="1">
      <x:c r="A192" s="147" t="str">
        <x:v>2.5.6</x:v>
      </x:c>
      <x:c r="B192" s="301" t="n">
        <x:v>126</x:v>
      </x:c>
      <x:c r="C192" s="133" t="str">
        <x:v>Agent and tool-use troubleshooting</x:v>
      </x:c>
    </x:row>
    <x:row r="193" ht="28" customHeight="1">
      <x:c r="A193" s="147" t="str">
        <x:v>4.2.1</x:v>
      </x:c>
      <x:c r="B193" s="301" t="n">
        <x:v>127</x:v>
      </x:c>
      <x:c r="C193" s="133" t="str">
        <x:v>Cost, latency, throughput, and scaling troubleshooting</x:v>
      </x:c>
    </x:row>
    <x:row r="194" ht="28" customHeight="1">
      <x:c r="A194" s="147" t="str">
        <x:v>4.2.3</x:v>
      </x:c>
      <x:c r="B194" s="301" t="n">
        <x:v>127</x:v>
      </x:c>
      <x:c r="C194" s="133" t="str">
        <x:v>Cost, latency, throughput, and scaling troubleshooting</x:v>
      </x:c>
    </x:row>
    <x:row r="195" ht="28" customHeight="1">
      <x:c r="A195" s="147" t="str">
        <x:v>4.2.5</x:v>
      </x:c>
      <x:c r="B195" s="301" t="n">
        <x:v>127</x:v>
      </x:c>
      <x:c r="C195" s="133" t="str">
        <x:v>Cost, latency, throughput, and scaling troubleshooting</x:v>
      </x:c>
    </x:row>
    <x:row r="196" ht="28" customHeight="1">
      <x:c r="A196" s="147" t="str">
        <x:v>4.2.6</x:v>
      </x:c>
      <x:c r="B196" s="301" t="n">
        <x:v>127</x:v>
      </x:c>
      <x:c r="C196" s="133" t="str">
        <x:v>Cost, latency, throughput, and scaling troubleshooting</x:v>
      </x:c>
    </x:row>
    <x:row r="197" ht="28" customHeight="1">
      <x:c r="A197" s="147" t="str">
        <x:v>4.3.6</x:v>
      </x:c>
      <x:c r="B197" s="301" t="n">
        <x:v>127</x:v>
      </x:c>
      <x:c r="C197" s="133" t="str">
        <x:v>Cost, latency, throughput, and scaling troubleshooting</x:v>
      </x:c>
    </x:row>
    <x:row r="198" ht="28" customHeight="1">
      <x:c r="A198" s="147" t="str">
        <x:v>4.3.6</x:v>
      </x:c>
      <x:c r="B198" s="301" t="n">
        <x:v>128</x:v>
      </x:c>
      <x:c r="C198" s="133" t="str">
        <x:v>End-to-end incident analysis and root-cause diagnosis</x:v>
      </x:c>
    </x:row>
    <x:row r="199" ht="28" customHeight="1">
      <x:c r="A199" s="147" t="str">
        <x:v>2.5.6</x:v>
      </x:c>
      <x:c r="B199" s="301" t="n">
        <x:v>128</x:v>
      </x:c>
      <x:c r="C199" s="133" t="str">
        <x:v>End-to-end incident analysis and root-cause diagnosis</x:v>
      </x:c>
    </x:row>
    <x:row r="200" ht="28" customHeight="1">
      <x:c r="A200" s="147" t="str">
        <x:v>5.2.1</x:v>
      </x:c>
      <x:c r="B200" s="301" t="n">
        <x:v>128</x:v>
      </x:c>
      <x:c r="C200" s="133" t="str">
        <x:v>End-to-end incident analysis and root-cause diagnosis</x:v>
      </x:c>
    </x:row>
    <x:row r="201" ht="28" customHeight="1">
      <x:c r="A201" s="147" t="str">
        <x:v>5.2.2</x:v>
      </x:c>
      <x:c r="B201" s="301" t="n">
        <x:v>128</x:v>
      </x:c>
      <x:c r="C201" s="133" t="str">
        <x:v>End-to-end incident analysis and root-cause diagnosis</x:v>
      </x:c>
    </x:row>
    <x:row r="202" ht="28" customHeight="1">
      <x:c r="A202" s="147" t="str">
        <x:v>5.2.3</x:v>
      </x:c>
      <x:c r="B202" s="301" t="n">
        <x:v>128</x:v>
      </x:c>
      <x:c r="C202" s="133" t="str">
        <x:v>End-to-end incident analysis and root-cause diagnosis</x:v>
      </x:c>
    </x:row>
    <x:row r="203" ht="28" customHeight="1">
      <x:c r="A203" s="147" t="str">
        <x:v>5.2.4</x:v>
      </x:c>
      <x:c r="B203" s="301" t="n">
        <x:v>128</x:v>
      </x:c>
      <x:c r="C203" s="133" t="str">
        <x:v>End-to-end incident analysis and root-cause diagnosis</x:v>
      </x:c>
    </x:row>
    <x:row r="204" ht="28" customHeight="1">
      <x:c r="A204" s="147" t="str">
        <x:v>5.2.5</x:v>
      </x:c>
      <x:c r="B204" s="301" t="n">
        <x:v>128</x:v>
      </x:c>
      <x:c r="C204" s="133" t="str">
        <x:v>End-to-end incident analysis and root-cause diagnosis</x:v>
      </x:c>
    </x:row>
    <x:row r="205" ht="28" customHeight="1">
      <x:c r="A205" s="147" t="str">
        <x:v>1.1.1</x:v>
      </x:c>
      <x:c r="B205" s="301" t="n">
        <x:v>129</x:v>
      </x:c>
      <x:c r="C205" s="133" t="str">
        <x:v>End-to-end GenAI architecture design</x:v>
      </x:c>
    </x:row>
    <x:row r="206" ht="28" customHeight="1">
      <x:c r="A206" s="147" t="str">
        <x:v>1.1.3</x:v>
      </x:c>
      <x:c r="B206" s="301" t="n">
        <x:v>129</x:v>
      </x:c>
      <x:c r="C206" s="133" t="str">
        <x:v>End-to-end GenAI architecture design</x:v>
      </x:c>
    </x:row>
    <x:row r="207" ht="28" customHeight="1">
      <x:c r="A207" s="147" t="str">
        <x:v>2.3.1</x:v>
      </x:c>
      <x:c r="B207" s="301" t="n">
        <x:v>129</x:v>
      </x:c>
      <x:c r="C207" s="133" t="str">
        <x:v>End-to-end GenAI architecture design</x:v>
      </x:c>
    </x:row>
    <x:row r="208" ht="28" customHeight="1">
      <x:c r="A208" s="147" t="str">
        <x:v>2.3.2</x:v>
      </x:c>
      <x:c r="B208" s="301" t="n">
        <x:v>129</x:v>
      </x:c>
      <x:c r="C208" s="133" t="str">
        <x:v>End-to-end GenAI architecture design</x:v>
      </x:c>
    </x:row>
    <x:row r="209" ht="28" customHeight="1">
      <x:c r="A209" s="147" t="str">
        <x:v>2.3.3</x:v>
      </x:c>
      <x:c r="B209" s="301" t="n">
        <x:v>129</x:v>
      </x:c>
      <x:c r="C209" s="133" t="str">
        <x:v>End-to-end GenAI architecture design</x:v>
      </x:c>
    </x:row>
    <x:row r="210" ht="28" customHeight="1">
      <x:c r="A210" s="147" t="str">
        <x:v>2.3.4</x:v>
      </x:c>
      <x:c r="B210" s="301" t="n">
        <x:v>129</x:v>
      </x:c>
      <x:c r="C210" s="133" t="str">
        <x:v>End-to-end GenAI architecture design</x:v>
      </x:c>
    </x:row>
    <x:row r="211" ht="28" customHeight="1">
      <x:c r="A211" s="147" t="str">
        <x:v>2.3.5</x:v>
      </x:c>
      <x:c r="B211" s="301" t="n">
        <x:v>129</x:v>
      </x:c>
      <x:c r="C211" s="133" t="str">
        <x:v>End-to-end GenAI architecture design</x:v>
      </x:c>
    </x:row>
    <x:row r="212" ht="28" customHeight="1">
      <x:c r="A212" s="147" t="str">
        <x:v>1.1.1</x:v>
      </x:c>
      <x:c r="B212" s="301" t="n">
        <x:v>130</x:v>
      </x:c>
      <x:c r="C212" s="133" t="str">
        <x:v>Business, technical, security, cost, and governance trade-off analysis</x:v>
      </x:c>
    </x:row>
    <x:row r="213" ht="28" customHeight="1">
      <x:c r="A213" s="147" t="str">
        <x:v>1.2.1</x:v>
      </x:c>
      <x:c r="B213" s="301" t="n">
        <x:v>130</x:v>
      </x:c>
      <x:c r="C213" s="133" t="str">
        <x:v>Business, technical, security, cost, and governance trade-off analysis</x:v>
      </x:c>
    </x:row>
    <x:row r="214" ht="28" customHeight="1">
      <x:c r="A214" s="147" t="str">
        <x:v>2.2.3</x:v>
      </x:c>
      <x:c r="B214" s="301" t="n">
        <x:v>130</x:v>
      </x:c>
      <x:c r="C214" s="133" t="str">
        <x:v>Business, technical, security, cost, and governance trade-off analysis</x:v>
      </x:c>
    </x:row>
    <x:row r="215" ht="28" customHeight="1">
      <x:c r="A215" s="147" t="str">
        <x:v>3.3.3</x:v>
      </x:c>
      <x:c r="B215" s="301" t="n">
        <x:v>130</x:v>
      </x:c>
      <x:c r="C215" s="133" t="str">
        <x:v>Business, technical, security, cost, and governance trade-off analysis</x:v>
      </x:c>
    </x:row>
    <x:row r="216" ht="28" customHeight="1">
      <x:c r="A216" s="147" t="str">
        <x:v>4.1.2</x:v>
      </x:c>
      <x:c r="B216" s="301" t="n">
        <x:v>130</x:v>
      </x:c>
      <x:c r="C216" s="133" t="str">
        <x:v>Business, technical, security, cost, and governance trade-off analysis</x:v>
      </x:c>
    </x:row>
    <x:row r="217" ht="28" customHeight="1">
      <x:c r="A217" s="147" t="str">
        <x:v>4.2.1</x:v>
      </x:c>
      <x:c r="B217" s="301" t="n">
        <x:v>130</x:v>
      </x:c>
      <x:c r="C217" s="133" t="str">
        <x:v>Business, technical, security, cost, and governance trade-off analysis</x:v>
      </x:c>
    </x:row>
    <x:row r="218" ht="28" customHeight="1">
      <x:c r="A218" s="147" t="str">
        <x:v>1.1.1</x:v>
      </x:c>
      <x:c r="B218" s="301" t="n">
        <x:v>131</x:v>
      </x:c>
      <x:c r="C218" s="133" t="str">
        <x:v>Architecture decision records and alternative evaluation</x:v>
      </x:c>
    </x:row>
    <x:row r="219" ht="28" customHeight="1">
      <x:c r="A219" s="147" t="str">
        <x:v>1.1.3</x:v>
      </x:c>
      <x:c r="B219" s="301" t="n">
        <x:v>131</x:v>
      </x:c>
      <x:c r="C219" s="133" t="str">
        <x:v>Architecture decision records and alternative evaluation</x:v>
      </x:c>
    </x:row>
    <x:row r="220" ht="28" customHeight="1">
      <x:c r="A220" s="147" t="str">
        <x:v>1.1.2</x:v>
      </x:c>
      <x:c r="B220" s="301" t="n">
        <x:v>132</x:v>
      </x:c>
      <x:c r="C220" s="133" t="str">
        <x:v>Production-readiness review</x:v>
      </x:c>
    </x:row>
    <x:row r="221" ht="28" customHeight="1">
      <x:c r="A221" s="147" t="str">
        <x:v>1.1.3</x:v>
      </x:c>
      <x:c r="B221" s="301" t="n">
        <x:v>132</x:v>
      </x:c>
      <x:c r="C221" s="133" t="str">
        <x:v>Production-readiness review</x:v>
      </x:c>
    </x:row>
    <x:row r="222" ht="28" customHeight="1">
      <x:c r="A222" s="147" t="str">
        <x:v>2.3.5</x:v>
      </x:c>
      <x:c r="B222" s="301" t="n">
        <x:v>132</x:v>
      </x:c>
      <x:c r="C222" s="133" t="str">
        <x:v>Production-readiness review</x:v>
      </x:c>
    </x:row>
    <x:row r="223" ht="28" customHeight="1">
      <x:c r="A223" s="147" t="str">
        <x:v>3.3.4</x:v>
      </x:c>
      <x:c r="B223" s="301" t="n">
        <x:v>132</x:v>
      </x:c>
      <x:c r="C223" s="133" t="str">
        <x:v>Production-readiness review</x:v>
      </x:c>
    </x:row>
    <x:row r="224" ht="28" customHeight="1">
      <x:c r="A224" s="147" t="str">
        <x:v>4.3.1</x:v>
      </x:c>
      <x:c r="B224" s="301" t="n">
        <x:v>132</x:v>
      </x:c>
      <x:c r="C224" s="133" t="str">
        <x:v>Production-readiness review</x:v>
      </x:c>
    </x:row>
    <x:row r="225" ht="28" customHeight="1">
      <x:c r="A225" s="147" t="str">
        <x:v>4.3.2</x:v>
      </x:c>
      <x:c r="B225" s="301" t="n">
        <x:v>132</x:v>
      </x:c>
      <x:c r="C225" s="133" t="str">
        <x:v>Production-readiness review</x:v>
      </x:c>
    </x:row>
    <x:row r="226" ht="28" customHeight="1">
      <x:c r="A226" s="147" t="str">
        <x:v>4.3.3</x:v>
      </x:c>
      <x:c r="B226" s="301" t="n">
        <x:v>132</x:v>
      </x:c>
      <x:c r="C226" s="133" t="str">
        <x:v>Production-readiness review</x:v>
      </x:c>
    </x:row>
    <x:row r="227" ht="28" customHeight="1">
      <x:c r="A227" s="147" t="str">
        <x:v>4.3.4</x:v>
      </x:c>
      <x:c r="B227" s="301" t="n">
        <x:v>132</x:v>
      </x:c>
      <x:c r="C227" s="133" t="str">
        <x:v>Production-readiness review</x:v>
      </x:c>
    </x:row>
    <x:row r="228" ht="28" customHeight="1">
      <x:c r="A228" s="147" t="str">
        <x:v>4.3.5</x:v>
      </x:c>
      <x:c r="B228" s="301" t="n">
        <x:v>132</x:v>
      </x:c>
      <x:c r="C228" s="133" t="str">
        <x:v>Production-readiness review</x:v>
      </x:c>
    </x:row>
    <x:row r="229" ht="28" customHeight="1">
      <x:c r="A229" s="147" t="str">
        <x:v>4.3.6</x:v>
      </x:c>
      <x:c r="B229" s="301" t="n">
        <x:v>132</x:v>
      </x:c>
      <x:c r="C229" s="133" t="str">
        <x:v>Production-readiness review</x:v>
      </x:c>
    </x:row>
    <x:row r="230" ht="28" customHeight="1">
      <x:c r="A230" s="148" t="str">
        <x:v>5.1.9</x:v>
      </x:c>
      <x:c r="B230" s="302" t="n">
        <x:v>132</x:v>
      </x:c>
      <x:c r="C230" s="136" t="str">
        <x:v>Production-readiness review</x:v>
      </x:c>
    </x:row>
  </x:sheetData>
  <x:mergeCells>
    <x:mergeCell ref="A1:C1"/>
    <x:mergeCell ref="A2:C2"/>
  </x:mergeCells>
  <x:pageMargins left="0.7" right="0.7" top="0.75" bottom="0.75" header="0.3" footer="0.3"/>
  <x:tableParts count="1">
    <x:tablePart xmlns:r="http://schemas.openxmlformats.org/officeDocument/2006/relationships" r:id="Ra3702a1295f945ac"/>
  </x:tableParts>
</x:worksheet>
</file>

<file path=xl/worksheets/sheet7.xml><?xml version="1.0" encoding="utf-8"?>
<x:worksheet xmlns:x="http://schemas.openxmlformats.org/spreadsheetml/2006/main">
  <x:sheetFormatPr defaultRowHeight="15"/>
  <x:cols>
    <x:col min="1" max="1" width="11" hidden="0" customWidth="1"/>
    <x:col min="2" max="2" width="7" hidden="0" customWidth="1"/>
    <x:col min="3" max="3" width="35" hidden="0" customWidth="1"/>
    <x:col min="4" max="4" width="12" hidden="0" customWidth="1"/>
    <x:col min="5" max="5" width="38" hidden="0" customWidth="1"/>
    <x:col min="6" max="6" width="18" hidden="0" customWidth="1"/>
    <x:col min="7" max="7" width="58" hidden="0" customWidth="1"/>
    <x:col min="8" max="8" width="60" hidden="0" customWidth="1"/>
    <x:col min="9" max="9" width="32" hidden="0" customWidth="1"/>
    <x:col min="10" max="10" width="12" hidden="0" customWidth="1"/>
    <x:col min="11" max="11" width="11" hidden="0" customWidth="1"/>
    <x:col min="12" max="12" width="13" hidden="0" customWidth="1"/>
    <x:col min="13" max="13" width="11" hidden="0" customWidth="1"/>
    <x:col min="14" max="14" width="10" hidden="0" customWidth="1"/>
    <x:col min="15" max="15" width="12" hidden="0" customWidth="1"/>
    <x:col min="16" max="16" width="13" hidden="0" customWidth="1"/>
    <x:col min="17" max="17" width="22" hidden="0" customWidth="1"/>
    <x:col min="18" max="18" width="48" hidden="0" customWidth="1"/>
    <x:col min="19" max="19" width="13" hidden="0" customWidth="1"/>
  </x:cols>
  <x:sheetData>
    <x:row r="1" ht="30" customHeight="1">
      <x:c r="A1" s="324" t="str">
        <x:v>AIP-C01 Initial Diagnostic Questionnaire</x:v>
      </x:c>
      <x:c r="B1" s="324"/>
      <x:c r="C1" s="324"/>
      <x:c r="D1" s="324"/>
      <x:c r="E1" s="324"/>
      <x:c r="F1" s="324"/>
      <x:c r="G1" s="324"/>
      <x:c r="H1" s="324"/>
      <x:c r="I1" s="324"/>
      <x:c r="J1" s="324"/>
      <x:c r="K1" s="324"/>
      <x:c r="L1" s="324"/>
      <x:c r="M1" s="324"/>
      <x:c r="N1" s="324"/>
      <x:c r="O1" s="324"/>
      <x:c r="P1" s="324"/>
      <x:c r="Q1" s="324"/>
      <x:c r="R1" s="324"/>
      <x:c r="S1" s="324"/>
    </x:row>
    <x:row r="2" ht="36" customHeight="1">
      <x:c r="A2" s="328" t="str">
        <x:v>Complete all 60 questions before reviewing the answer key. Enter A, B, C, or D for multiple-choice questions. For short-response and practical questions, write your response and have an assessor enter a score. Confidence: 1 = guessing, 5 = highly confident. The diagnostic is 100 points: 10 points per learning layer.</x:v>
      </x:c>
      <x:c r="B2" s="328"/>
      <x:c r="C2" s="328"/>
      <x:c r="D2" s="328"/>
      <x:c r="E2" s="328"/>
      <x:c r="F2" s="328"/>
      <x:c r="G2" s="328"/>
      <x:c r="H2" s="328"/>
      <x:c r="I2" s="328"/>
      <x:c r="J2" s="328"/>
      <x:c r="K2" s="328"/>
      <x:c r="L2" s="328"/>
      <x:c r="M2" s="328"/>
      <x:c r="N2" s="328"/>
      <x:c r="O2" s="328"/>
      <x:c r="P2" s="328"/>
      <x:c r="Q2" s="328"/>
      <x:c r="R2" s="328"/>
      <x:c r="S2" s="328"/>
    </x:row>
    <x:row r="3" ht="36" customHeight="1">
      <x:c r="A3" s="328"/>
      <x:c r="B3" s="328"/>
      <x:c r="C3" s="328"/>
      <x:c r="D3" s="328"/>
      <x:c r="E3" s="328"/>
      <x:c r="F3" s="328"/>
      <x:c r="G3" s="328"/>
      <x:c r="H3" s="328"/>
      <x:c r="I3" s="328"/>
      <x:c r="J3" s="328"/>
      <x:c r="K3" s="328"/>
      <x:c r="L3" s="328"/>
      <x:c r="M3" s="328"/>
      <x:c r="N3" s="328"/>
      <x:c r="O3" s="328"/>
      <x:c r="P3" s="328"/>
      <x:c r="Q3" s="328"/>
      <x:c r="R3" s="328"/>
      <x:c r="S3" s="328"/>
    </x:row>
    <x:row r="5" ht="42" customHeight="1">
      <x:c r="A5" s="333" t="str">
        <x:v>Question ID</x:v>
      </x:c>
      <x:c r="B5" s="333" t="str">
        <x:v>Phase</x:v>
      </x:c>
      <x:c r="C5" s="333" t="str">
        <x:v>Learning Layer</x:v>
      </x:c>
      <x:c r="D5" s="333" t="str">
        <x:v>Primary Topic Index</x:v>
      </x:c>
      <x:c r="E5" s="333" t="str">
        <x:v>Topic / Capability</x:v>
      </x:c>
      <x:c r="F5" s="333" t="str">
        <x:v>Question Type</x:v>
      </x:c>
      <x:c r="G5" s="333" t="str">
        <x:v>Question</x:v>
      </x:c>
      <x:c r="H5" s="333" t="str">
        <x:v>Options / Expected Format</x:v>
      </x:c>
      <x:c r="I5" s="333" t="str">
        <x:v>Learner Response</x:v>
      </x:c>
      <x:c r="J5" s="333" t="str">
        <x:v>Confidence (1–5)</x:v>
      </x:c>
      <x:c r="K5" s="333" t="str">
        <x:v>Auto Score</x:v>
      </x:c>
      <x:c r="L5" s="333" t="str">
        <x:v>Assessor Score</x:v>
      </x:c>
      <x:c r="M5" s="333" t="str">
        <x:v>Final Score</x:v>
      </x:c>
      <x:c r="N5" s="333" t="str">
        <x:v>Max Score</x:v>
      </x:c>
      <x:c r="O5" s="333" t="str">
        <x:v>Pass Threshold</x:v>
      </x:c>
      <x:c r="P5" s="333" t="str">
        <x:v>Result</x:v>
      </x:c>
      <x:c r="Q5" s="333" t="str">
        <x:v>Gap Type</x:v>
      </x:c>
      <x:c r="R5" s="333" t="str">
        <x:v>Remediation if Gap</x:v>
      </x:c>
      <x:c r="S5" s="333" t="str">
        <x:v>Start Candidate</x:v>
      </x:c>
    </x:row>
    <x:row r="6" ht="72" customHeight="1">
      <x:c r="A6" s="352" t="str">
        <x:v>Q001</x:v>
      </x:c>
      <x:c r="B6" s="353" t="n">
        <x:v>0</x:v>
      </x:c>
      <x:c r="C6" s="353" t="str">
        <x:v>Layer 0 — GenAI and AWS foundations</x:v>
      </x:c>
      <x:c r="D6" s="353" t="n">
        <x:v>1</x:v>
      </x:c>
      <x:c r="E6" s="335" t="str">
        <x:v>Foundation models and GenAI fundamentals</x:v>
      </x:c>
      <x:c r="F6" s="335" t="str">
        <x:v>Multiple Choice</x:v>
      </x:c>
      <x:c r="G6" s="335" t="str">
        <x:v>Which statement best distinguishes foundation-model inference from model training?</x:v>
      </x:c>
      <x:c r="H6" s="335" t="str">
        <x:v>A. Inference updates all model weights using new examples
B. Inference uses an already trained model to generate or predict without updating its weights
C. Inference only creates vector indexes
D. Inference stores prompts for later approval</x:v>
      </x:c>
      <x:c r="I6" s="343"/>
      <x:c r="J6" s="358"/>
      <x:c r="K6" s="359" t="str">
        <x:f>IF(F6="Multiple Choice",IF(I6="","",IF(UPPER(TRIM(I6))=VLOOKUP(A6,'Answer Key &amp; Scoring'!$A$6:$J$65,4,FALSE),N6,0)),"")</x:f>
      </x:c>
      <x:c r="L6" s="358" t="str"/>
      <x:c r="M6" s="359" t="str">
        <x:f>IF(F6="Multiple Choice",K6,IF(L6="","",MIN(L6,N6)))</x:f>
      </x:c>
      <x:c r="N6" s="359" t="n">
        <x:v>1</x:v>
      </x:c>
      <x:c r="O6" s="359" t="n">
        <x:v>1</x:v>
      </x:c>
      <x:c r="P6" s="359" t="str">
        <x:f>IF(F6="Multiple Choice",IF(I6="","Not scored",IF(M6&gt;=O6,"Pass","Gap")),IF(L6="","Not scored",IF(M6&gt;=O6,"Pass","Gap")))</x:f>
        <x:v>Not scored</x:v>
      </x:c>
      <x:c r="Q6" s="335" t="str">
        <x:v>Conceptual</x:v>
      </x:c>
      <x:c r="R6" s="335" t="str">
        <x:v>Review FM lifecycle: pre-training, customization, and inference; explain the distinction without notes.</x:v>
      </x:c>
      <x:c r="S6" s="349" t="n">
        <x:f>IF(P6="Gap",D6,999)</x:f>
        <x:v>999</x:v>
      </x:c>
    </x:row>
    <x:row r="7" ht="72" customHeight="1">
      <x:c r="A7" s="354" t="str">
        <x:v>Q002</x:v>
      </x:c>
      <x:c r="B7" s="355" t="n">
        <x:v>0</x:v>
      </x:c>
      <x:c r="C7" s="355" t="str">
        <x:v>Layer 0 — GenAI and AWS foundations</x:v>
      </x:c>
      <x:c r="D7" s="355" t="n">
        <x:v>2</x:v>
      </x:c>
      <x:c r="E7" s="338" t="str">
        <x:v>Tokens, context windows, inference, temperature, top-k, and top-p</x:v>
      </x:c>
      <x:c r="F7" s="338" t="str">
        <x:v>Multiple Choice</x:v>
      </x:c>
      <x:c r="G7" s="338" t="str">
        <x:v>A prompt plus retrieved documents exceeds the model context window. What is the best first response?</x:v>
      </x:c>
      <x:c r="H7" s="338" t="str">
        <x:v>A. Increase temperature
B. Randomly remove half the prompt
C. Prioritize relevant context, improve retrieval or chunking, and reduce unnecessary tokens
D. Purchase provisioned throughput</x:v>
      </x:c>
      <x:c r="I7" s="344"/>
      <x:c r="J7" s="360"/>
      <x:c r="K7" s="361" t="str">
        <x:f>IF(F7="Multiple Choice",IF(I7="","",IF(UPPER(TRIM(I7))=VLOOKUP(A7,'Answer Key &amp; Scoring'!$A$6:$J$65,4,FALSE),N7,0)),"")</x:f>
      </x:c>
      <x:c r="L7" s="360" t="str"/>
      <x:c r="M7" s="361" t="str">
        <x:f>IF(F7="Multiple Choice",K7,IF(L7="","",MIN(L7,N7)))</x:f>
      </x:c>
      <x:c r="N7" s="361" t="n">
        <x:v>1</x:v>
      </x:c>
      <x:c r="O7" s="361" t="n">
        <x:v>1</x:v>
      </x:c>
      <x:c r="P7" s="361" t="str">
        <x:f>IF(F7="Multiple Choice",IF(I7="","Not scored",IF(M7&gt;=O7,"Pass","Gap")),IF(L7="","Not scored",IF(M7&gt;=O7,"Pass","Gap")))</x:f>
        <x:v>Not scored</x:v>
      </x:c>
      <x:c r="Q7" s="338" t="str">
        <x:v>Causal/Diagnostic</x:v>
      </x:c>
      <x:c r="R7" s="338" t="str">
        <x:v>Work through token-budget examples and predict how context selection affects quality, cost, and truncation.</x:v>
      </x:c>
      <x:c r="S7" s="350" t="n">
        <x:f>IF(P7="Gap",D7,999)</x:f>
        <x:v>999</x:v>
      </x:c>
    </x:row>
    <x:row r="8" ht="72" customHeight="1">
      <x:c r="A8" s="354" t="str">
        <x:v>Q003</x:v>
      </x:c>
      <x:c r="B8" s="355" t="n">
        <x:v>0</x:v>
      </x:c>
      <x:c r="C8" s="355" t="str">
        <x:v>Layer 0 — GenAI and AWS foundations</x:v>
      </x:c>
      <x:c r="D8" s="355" t="n">
        <x:v>3</x:v>
      </x:c>
      <x:c r="E8" s="338" t="str">
        <x:v>AWS GenAI service landscape: Bedrock, SageMaker AI, Lambda, API Gateway, Step Functions, SQS, EventBridge, S3, DynamoDB, OpenSearch, CloudWatch, X-Ray, IAM</x:v>
      </x:c>
      <x:c r="F8" s="338" t="str">
        <x:v>Multiple Choice</x:v>
      </x:c>
      <x:c r="G8" s="338" t="str">
        <x:v>Which AWS service provides managed API access to multiple foundation models for generative-AI applications?</x:v>
      </x:c>
      <x:c r="H8" s="338" t="str">
        <x:v>A. AWS Glue Data Quality
B. Amazon Bedrock
C. Amazon Macie
D. AWS Lake Formation</x:v>
      </x:c>
      <x:c r="I8" s="344" t="str"/>
      <x:c r="J8" s="360" t="str"/>
      <x:c r="K8" s="361" t="str">
        <x:f>IF(F8="Multiple Choice",IF(I8="","",IF(UPPER(TRIM(I8))=VLOOKUP(A8,'Answer Key &amp; Scoring'!$A$6:$J$65,4,FALSE),N8,0)),"")</x:f>
      </x:c>
      <x:c r="L8" s="360" t="str"/>
      <x:c r="M8" s="361" t="str">
        <x:f>IF(F8="Multiple Choice",K8,IF(L8="","",MIN(L8,N8)))</x:f>
      </x:c>
      <x:c r="N8" s="361" t="n">
        <x:v>1</x:v>
      </x:c>
      <x:c r="O8" s="361" t="n">
        <x:v>1</x:v>
      </x:c>
      <x:c r="P8" s="361" t="str">
        <x:f>IF(F8="Multiple Choice",IF(I8="","Not scored",IF(M8&gt;=O8,"Pass","Gap")),IF(L8="","Not scored",IF(M8&gt;=O8,"Pass","Gap")))</x:f>
        <x:v>Not scored</x:v>
      </x:c>
      <x:c r="Q8" s="338" t="str">
        <x:v>Declarative/Embedded</x:v>
      </x:c>
      <x:c r="R8" s="338" t="str">
        <x:v>Create an AWS GenAI service map and match each service to its primary role.</x:v>
      </x:c>
      <x:c r="S8" s="350" t="n">
        <x:f>IF(P8="Gap",D8,999)</x:f>
        <x:v>999</x:v>
      </x:c>
    </x:row>
    <x:row r="9" ht="72" customHeight="1">
      <x:c r="A9" s="354" t="str">
        <x:v>Q004</x:v>
      </x:c>
      <x:c r="B9" s="355" t="n">
        <x:v>0</x:v>
      </x:c>
      <x:c r="C9" s="355" t="str">
        <x:v>Layer 0 — GenAI and AWS foundations</x:v>
      </x:c>
      <x:c r="D9" s="355" t="n">
        <x:v>4</x:v>
      </x:c>
      <x:c r="E9" s="338" t="str">
        <x:v>API, event-driven, serverless, container, and workflow fundamentals</x:v>
      </x:c>
      <x:c r="F9" s="338" t="str">
        <x:v>Multiple Choice</x:v>
      </x:c>
      <x:c r="G9" s="338" t="str">
        <x:v>Which pattern best decouples a long-running FM request from a user-facing API?</x:v>
      </x:c>
      <x:c r="H9" s="338" t="str">
        <x:v>A. Keep the HTTP connection open indefinitely
B. Invoke the model repeatedly from the browser
C. Place work on Amazon SQS, process it asynchronously, and store or notify the result
D. Increase the model temperature</x:v>
      </x:c>
      <x:c r="I9" s="344" t="str"/>
      <x:c r="J9" s="360" t="str"/>
      <x:c r="K9" s="361" t="str">
        <x:f>IF(F9="Multiple Choice",IF(I9="","",IF(UPPER(TRIM(I9))=VLOOKUP(A9,'Answer Key &amp; Scoring'!$A$6:$J$65,4,FALSE),N9,0)),"")</x:f>
      </x:c>
      <x:c r="L9" s="360" t="str"/>
      <x:c r="M9" s="361" t="str">
        <x:f>IF(F9="Multiple Choice",K9,IF(L9="","",MIN(L9,N9)))</x:f>
      </x:c>
      <x:c r="N9" s="361" t="n">
        <x:v>1</x:v>
      </x:c>
      <x:c r="O9" s="361" t="n">
        <x:v>1</x:v>
      </x:c>
      <x:c r="P9" s="361" t="str">
        <x:f>IF(F9="Multiple Choice",IF(I9="","Not scored",IF(M9&gt;=O9,"Pass","Gap")),IF(L9="","Not scored",IF(M9&gt;=O9,"Pass","Gap")))</x:f>
        <x:v>Not scored</x:v>
      </x:c>
      <x:c r="Q9" s="338" t="str">
        <x:v>Conditional</x:v>
      </x:c>
      <x:c r="R9" s="338" t="str">
        <x:v>Compare synchronous, asynchronous, streaming, and event-driven patterns using workload examples.</x:v>
      </x:c>
      <x:c r="S9" s="350" t="n">
        <x:f>IF(P9="Gap",D9,999)</x:f>
        <x:v>999</x:v>
      </x:c>
    </x:row>
    <x:row r="10" ht="72" customHeight="1">
      <x:c r="A10" s="354" t="str">
        <x:v>Q005</x:v>
      </x:c>
      <x:c r="B10" s="355" t="n">
        <x:v>0</x:v>
      </x:c>
      <x:c r="C10" s="355" t="str">
        <x:v>Layer 0 — GenAI and AWS foundations</x:v>
      </x:c>
      <x:c r="D10" s="355" t="n">
        <x:v>5</x:v>
      </x:c>
      <x:c r="E10" s="338" t="str">
        <x:v>IAM, trust boundaries, least privilege, networking, and data-protection fundamentals</x:v>
      </x:c>
      <x:c r="F10" s="338" t="str">
        <x:v>Short Response</x:v>
      </x:c>
      <x:c r="G10" s="338" t="str">
        <x:v>Explain least privilege and a trust boundary in the context of a GenAI application.</x:v>
      </x:c>
      <x:c r="H10" s="338" t="str">
        <x:v>Write 3–6 sentences. Include both identity permissions and the point where data or control crosses between security zones.</x:v>
      </x:c>
      <x:c r="I10" s="344"/>
      <x:c r="J10" s="360" t="str"/>
      <x:c r="K10" s="361" t="str">
        <x:f>IF(F10="Multiple Choice",IF(I10="","",IF(UPPER(TRIM(I10))=VLOOKUP(A10,'Answer Key &amp; Scoring'!$A$6:$J$65,4,FALSE),N10,0)),"")</x:f>
      </x:c>
      <x:c r="L10" s="360"/>
      <x:c r="M10" s="361" t="str">
        <x:f>IF(F10="Multiple Choice",K10,IF(L10="","",MIN(L10,N10)))</x:f>
      </x:c>
      <x:c r="N10" s="361" t="n">
        <x:v>2</x:v>
      </x:c>
      <x:c r="O10" s="361" t="n">
        <x:v>1.5</x:v>
      </x:c>
      <x:c r="P10" s="361" t="str">
        <x:f>IF(F10="Multiple Choice",IF(I10="","Not scored",IF(M10&gt;=O10,"Pass","Gap")),IF(L10="","Not scored",IF(M10&gt;=O10,"Pass","Gap")))</x:f>
        <x:v>Not scored</x:v>
      </x:c>
      <x:c r="Q10" s="338" t="str">
        <x:v>Conceptual/Normative</x:v>
      </x:c>
      <x:c r="R10" s="338" t="str">
        <x:v>Draw a trust-boundary diagram and assign IAM permissions to each component.</x:v>
      </x:c>
      <x:c r="S10" s="350" t="n">
        <x:f>IF(P10="Gap",D10,999)</x:f>
        <x:v>999</x:v>
      </x:c>
    </x:row>
    <x:row r="11" ht="72" customHeight="1">
      <x:c r="A11" s="354" t="str">
        <x:v>Q006</x:v>
      </x:c>
      <x:c r="B11" s="355" t="n">
        <x:v>0</x:v>
      </x:c>
      <x:c r="C11" s="355" t="str">
        <x:v>Layer 0 — GenAI and AWS foundations</x:v>
      </x:c>
      <x:c r="D11" s="355" t="n">
        <x:v>6</x:v>
      </x:c>
      <x:c r="E11" s="338" t="str">
        <x:v>GenAI requirements analysis and basic solution architecture</x:v>
      </x:c>
      <x:c r="F11" s="338" t="str">
        <x:v>Scenario / Practical</x:v>
      </x:c>
      <x:c r="G11" s="338" t="str">
        <x:v>Sketch a basic AWS architecture for an internal FAQ assistant over sensitive company documents. Identify the main request flow and at least four security, quality, or operational controls.</x:v>
      </x:c>
      <x:c r="H11" s="338" t="str">
        <x:v>Provide a concise architecture description or diagram. Address identity, document storage, retrieval, model invocation, and observability.</x:v>
      </x:c>
      <x:c r="I11" s="344" t="str"/>
      <x:c r="J11" s="360" t="str"/>
      <x:c r="K11" s="361" t="str">
        <x:f>IF(F11="Multiple Choice",IF(I11="","",IF(UPPER(TRIM(I11))=VLOOKUP(A11,'Answer Key &amp; Scoring'!$A$6:$J$65,4,FALSE),N11,0)),"")</x:f>
      </x:c>
      <x:c r="L11" s="360" t="str"/>
      <x:c r="M11" s="361" t="str">
        <x:f>IF(F11="Multiple Choice",K11,IF(L11="","",MIN(L11,N11)))</x:f>
      </x:c>
      <x:c r="N11" s="361" t="n">
        <x:v>4</x:v>
      </x:c>
      <x:c r="O11" s="361" t="n">
        <x:v>3</x:v>
      </x:c>
      <x:c r="P11" s="361" t="str">
        <x:f>IF(F11="Multiple Choice",IF(I11="","Not scored",IF(M11&gt;=O11,"Pass","Gap")),IF(L11="","Not scored",IF(M11&gt;=O11,"Pass","Gap")))</x:f>
        <x:v>Not scored</x:v>
      </x:c>
      <x:c r="Q11" s="338" t="str">
        <x:v>Strategic</x:v>
      </x:c>
      <x:c r="R11" s="338" t="str">
        <x:v>Complete a requirements-to-architecture case and produce an architecture decision record.</x:v>
      </x:c>
      <x:c r="S11" s="350" t="n">
        <x:f>IF(P11="Gap",D11,999)</x:f>
        <x:v>999</x:v>
      </x:c>
    </x:row>
    <x:row r="12" ht="72" customHeight="1">
      <x:c r="A12" s="354" t="str">
        <x:v>Q007</x:v>
      </x:c>
      <x:c r="B12" s="355" t="n">
        <x:v>1</x:v>
      </x:c>
      <x:c r="C12" s="355" t="str">
        <x:v>Layer 1 — Data and RAG foundations</x:v>
      </x:c>
      <x:c r="D12" s="355" t="n">
        <x:v>11</x:v>
      </x:c>
      <x:c r="E12" s="338" t="str">
        <x:v>Data-quality validation and monitoring</x:v>
      </x:c>
      <x:c r="F12" s="338" t="str">
        <x:v>Multiple Choice</x:v>
      </x:c>
      <x:c r="G12" s="338" t="str">
        <x:v>Before documents are embedded, which pipeline behavior best protects retrieval quality?</x:v>
      </x:c>
      <x:c r="H12" s="338" t="str">
        <x:v>A. Embed every record even when malformed
B. Validate schema, completeness, encoding, duplicates, and sensitive data; quarantine invalid records
C. Increase top-p
D. Disable metadata</x:v>
      </x:c>
      <x:c r="I12" s="344" t="str"/>
      <x:c r="J12" s="360" t="str"/>
      <x:c r="K12" s="361" t="str">
        <x:f>IF(F12="Multiple Choice",IF(I12="","",IF(UPPER(TRIM(I12))=VLOOKUP(A12,'Answer Key &amp; Scoring'!$A$6:$J$65,4,FALSE),N12,0)),"")</x:f>
      </x:c>
      <x:c r="L12" s="360" t="str"/>
      <x:c r="M12" s="361" t="str">
        <x:f>IF(F12="Multiple Choice",K12,IF(L12="","",MIN(L12,N12)))</x:f>
      </x:c>
      <x:c r="N12" s="361" t="n">
        <x:v>1</x:v>
      </x:c>
      <x:c r="O12" s="361" t="n">
        <x:v>1</x:v>
      </x:c>
      <x:c r="P12" s="361" t="str">
        <x:f>IF(F12="Multiple Choice",IF(I12="","Not scored",IF(M12&gt;=O12,"Pass","Gap")),IF(L12="","Not scored",IF(M12&gt;=O12,"Pass","Gap")))</x:f>
        <x:v>Not scored</x:v>
      </x:c>
      <x:c r="Q12" s="338" t="str">
        <x:v>Procedural</x:v>
      </x:c>
      <x:c r="R12" s="338" t="str">
        <x:v>Build a data-quality checklist and process a deliberately defective document set.</x:v>
      </x:c>
      <x:c r="S12" s="350" t="n">
        <x:f>IF(P12="Gap",D12,999)</x:f>
        <x:v>999</x:v>
      </x:c>
    </x:row>
    <x:row r="13" ht="72" customHeight="1">
      <x:c r="A13" s="354" t="str">
        <x:v>Q008</x:v>
      </x:c>
      <x:c r="B13" s="355" t="n">
        <x:v>1</x:v>
      </x:c>
      <x:c r="C13" s="355" t="str">
        <x:v>Layer 1 — Data and RAG foundations</x:v>
      </x:c>
      <x:c r="D13" s="355" t="n">
        <x:v>14</x:v>
      </x:c>
      <x:c r="E13" s="338" t="str">
        <x:v>Embeddings and vector-similarity fundamentals</x:v>
      </x:c>
      <x:c r="F13" s="338" t="str">
        <x:v>Multiple Choice</x:v>
      </x:c>
      <x:c r="G13" s="338" t="str">
        <x:v>What is an embedding in a semantic-search system?</x:v>
      </x:c>
      <x:c r="H13" s="338" t="str">
        <x:v>A. A compressed backup file
B. A model deployment endpoint
C. A numeric vector representing semantic characteristics of content
D. A permission policy</x:v>
      </x:c>
      <x:c r="I13" s="344" t="str"/>
      <x:c r="J13" s="360" t="str"/>
      <x:c r="K13" s="361" t="str">
        <x:f>IF(F13="Multiple Choice",IF(I13="","",IF(UPPER(TRIM(I13))=VLOOKUP(A13,'Answer Key &amp; Scoring'!$A$6:$J$65,4,FALSE),N13,0)),"")</x:f>
      </x:c>
      <x:c r="L13" s="360" t="str"/>
      <x:c r="M13" s="361" t="str">
        <x:f>IF(F13="Multiple Choice",K13,IF(L13="","",MIN(L13,N13)))</x:f>
      </x:c>
      <x:c r="N13" s="361" t="n">
        <x:v>1</x:v>
      </x:c>
      <x:c r="O13" s="361" t="n">
        <x:v>1</x:v>
      </x:c>
      <x:c r="P13" s="361" t="str">
        <x:f>IF(F13="Multiple Choice",IF(I13="","Not scored",IF(M13&gt;=O13,"Pass","Gap")),IF(L13="","Not scored",IF(M13&gt;=O13,"Pass","Gap")))</x:f>
        <x:v>Not scored</x:v>
      </x:c>
      <x:c r="Q13" s="338" t="str">
        <x:v>Conceptual</x:v>
      </x:c>
      <x:c r="R13" s="338" t="str">
        <x:v>Inspect nearest-neighbor examples and explain why semantically similar content is close in vector space.</x:v>
      </x:c>
      <x:c r="S13" s="350" t="n">
        <x:f>IF(P13="Gap",D13,999)</x:f>
        <x:v>999</x:v>
      </x:c>
    </x:row>
    <x:row r="14" ht="72" customHeight="1">
      <x:c r="A14" s="354" t="str">
        <x:v>Q009</x:v>
      </x:c>
      <x:c r="B14" s="355" t="n">
        <x:v>1</x:v>
      </x:c>
      <x:c r="C14" s="355" t="str">
        <x:v>Layer 1 — Data and RAG foundations</x:v>
      </x:c>
      <x:c r="D14" s="355" t="n">
        <x:v>15</x:v>
      </x:c>
      <x:c r="E14" s="338" t="str">
        <x:v>Document chunking and segmentation</x:v>
      </x:c>
      <x:c r="F14" s="338" t="str">
        <x:v>Multiple Choice</x:v>
      </x:c>
      <x:c r="G14" s="338" t="str">
        <x:v>What is a likely consequence of using chunks that are much too large?</x:v>
      </x:c>
      <x:c r="H14" s="338" t="str">
        <x:v>A. Retrieved context may contain irrelevant material, consume more tokens, and dilute the answer
B. The embedding model automatically becomes more accurate
C. IAM permissions become broader
D. API throttling disappears</x:v>
      </x:c>
      <x:c r="I14" s="344" t="str"/>
      <x:c r="J14" s="360" t="str"/>
      <x:c r="K14" s="361" t="str">
        <x:f>IF(F14="Multiple Choice",IF(I14="","",IF(UPPER(TRIM(I14))=VLOOKUP(A14,'Answer Key &amp; Scoring'!$A$6:$J$65,4,FALSE),N14,0)),"")</x:f>
      </x:c>
      <x:c r="L14" s="360" t="str"/>
      <x:c r="M14" s="361" t="str">
        <x:f>IF(F14="Multiple Choice",K14,IF(L14="","",MIN(L14,N14)))</x:f>
      </x:c>
      <x:c r="N14" s="361" t="n">
        <x:v>1</x:v>
      </x:c>
      <x:c r="O14" s="361" t="n">
        <x:v>1</x:v>
      </x:c>
      <x:c r="P14" s="361" t="str">
        <x:f>IF(F14="Multiple Choice",IF(I14="","Not scored",IF(M14&gt;=O14,"Pass","Gap")),IF(L14="","Not scored",IF(M14&gt;=O14,"Pass","Gap")))</x:f>
        <x:v>Not scored</x:v>
      </x:c>
      <x:c r="Q14" s="338" t="str">
        <x:v>Causal/Diagnostic</x:v>
      </x:c>
      <x:c r="R14" s="338" t="str">
        <x:v>Compare retrieval results using small, medium, and large chunks on the same corpus.</x:v>
      </x:c>
      <x:c r="S14" s="350" t="n">
        <x:f>IF(P14="Gap",D14,999)</x:f>
        <x:v>999</x:v>
      </x:c>
    </x:row>
    <x:row r="15" ht="72" customHeight="1">
      <x:c r="A15" s="354" t="str">
        <x:v>Q010</x:v>
      </x:c>
      <x:c r="B15" s="355" t="n">
        <x:v>1</x:v>
      </x:c>
      <x:c r="C15" s="355" t="str">
        <x:v>Layer 1 — Data and RAG foundations</x:v>
      </x:c>
      <x:c r="D15" s="355" t="n">
        <x:v>21</x:v>
      </x:c>
      <x:c r="E15" s="338" t="str">
        <x:v>Hybrid search and custom scoring</x:v>
      </x:c>
      <x:c r="F15" s="338" t="str">
        <x:v>Multiple Choice</x:v>
      </x:c>
      <x:c r="G15" s="338" t="str">
        <x:v>When is hybrid search usually most valuable?</x:v>
      </x:c>
      <x:c r="H15" s="338" t="str">
        <x:v>A. When no documents exist
B. When only exact SQL aggregation is needed
C. When the model is being fine-tuned
D. When queries require both exact terms or identifiers and semantic similarity</x:v>
      </x:c>
      <x:c r="I15" s="344" t="str"/>
      <x:c r="J15" s="360" t="str"/>
      <x:c r="K15" s="361" t="str">
        <x:f>IF(F15="Multiple Choice",IF(I15="","",IF(UPPER(TRIM(I15))=VLOOKUP(A15,'Answer Key &amp; Scoring'!$A$6:$J$65,4,FALSE),N15,0)),"")</x:f>
      </x:c>
      <x:c r="L15" s="360" t="str"/>
      <x:c r="M15" s="361" t="str">
        <x:f>IF(F15="Multiple Choice",K15,IF(L15="","",MIN(L15,N15)))</x:f>
      </x:c>
      <x:c r="N15" s="361" t="n">
        <x:v>1</x:v>
      </x:c>
      <x:c r="O15" s="361" t="n">
        <x:v>1</x:v>
      </x:c>
      <x:c r="P15" s="361" t="str">
        <x:f>IF(F15="Multiple Choice",IF(I15="","Not scored",IF(M15&gt;=O15,"Pass","Gap")),IF(L15="","Not scored",IF(M15&gt;=O15,"Pass","Gap")))</x:f>
        <x:v>Not scored</x:v>
      </x:c>
      <x:c r="Q15" s="338" t="str">
        <x:v>Conditional</x:v>
      </x:c>
      <x:c r="R15" s="338" t="str">
        <x:v>Run keyword, vector, and hybrid queries and compare relevance by query type.</x:v>
      </x:c>
      <x:c r="S15" s="350" t="n">
        <x:f>IF(P15="Gap",D15,999)</x:f>
        <x:v>999</x:v>
      </x:c>
    </x:row>
    <x:row r="16" ht="72" customHeight="1">
      <x:c r="A16" s="354" t="str">
        <x:v>Q011</x:v>
      </x:c>
      <x:c r="B16" s="355" t="n">
        <x:v>1</x:v>
      </x:c>
      <x:c r="C16" s="355" t="str">
        <x:v>Layer 1 — Data and RAG foundations</x:v>
      </x:c>
      <x:c r="D16" s="355" t="n">
        <x:v>20</x:v>
      </x:c>
      <x:c r="E16" s="338" t="str">
        <x:v>Basic Retrieval-Augmented Generation</x:v>
      </x:c>
      <x:c r="F16" s="338" t="str">
        <x:v>Short Response</x:v>
      </x:c>
      <x:c r="G16" s="338" t="str">
        <x:v>Explain the end-to-end flow of a basic RAG request from the user question to the final answer.</x:v>
      </x:c>
      <x:c r="H16" s="338" t="str">
        <x:v>Include query processing, retrieval, context construction, model invocation, and answer/source handling.</x:v>
      </x:c>
      <x:c r="I16" s="344" t="str"/>
      <x:c r="J16" s="360" t="str"/>
      <x:c r="K16" s="361" t="str">
        <x:f>IF(F16="Multiple Choice",IF(I16="","",IF(UPPER(TRIM(I16))=VLOOKUP(A16,'Answer Key &amp; Scoring'!$A$6:$J$65,4,FALSE),N16,0)),"")</x:f>
      </x:c>
      <x:c r="L16" s="360" t="str"/>
      <x:c r="M16" s="361" t="str">
        <x:f>IF(F16="Multiple Choice",K16,IF(L16="","",MIN(L16,N16)))</x:f>
      </x:c>
      <x:c r="N16" s="361" t="n">
        <x:v>2</x:v>
      </x:c>
      <x:c r="O16" s="361" t="n">
        <x:v>1.5</x:v>
      </x:c>
      <x:c r="P16" s="361" t="str">
        <x:f>IF(F16="Multiple Choice",IF(I16="","Not scored",IF(M16&gt;=O16,"Pass","Gap")),IF(L16="","Not scored",IF(M16&gt;=O16,"Pass","Gap")))</x:f>
        <x:v>Not scored</x:v>
      </x:c>
      <x:c r="Q16" s="338" t="str">
        <x:v>Conceptual</x:v>
      </x:c>
      <x:c r="R16" s="338" t="str">
        <x:v>Draw the ingestion and request-time RAG flows separately from memory.</x:v>
      </x:c>
      <x:c r="S16" s="350" t="n">
        <x:f>IF(P16="Gap",D16,999)</x:f>
        <x:v>999</x:v>
      </x:c>
    </x:row>
    <x:row r="17" ht="72" customHeight="1">
      <x:c r="A17" s="354" t="str">
        <x:v>Q012</x:v>
      </x:c>
      <x:c r="B17" s="355" t="n">
        <x:v>1</x:v>
      </x:c>
      <x:c r="C17" s="355" t="str">
        <x:v>Layer 1 — Data and RAG foundations</x:v>
      </x:c>
      <x:c r="D17" s="355" t="n">
        <x:v>26</x:v>
      </x:c>
      <x:c r="E17" s="338" t="str">
        <x:v>RAG quality evaluation and retrieval troubleshooting</x:v>
      </x:c>
      <x:c r="F17" s="338" t="str">
        <x:v>Scenario / Practical</x:v>
      </x:c>
      <x:c r="G17" s="338" t="str">
        <x:v>A RAG assistant suddenly returns irrelevant answers after source documents were updated. Describe a structured diagnostic sequence.</x:v>
      </x:c>
      <x:c r="H17" s="338" t="str">
        <x:v>Identify the stages you would inspect and the evidence you would collect before changing the prompt.</x:v>
      </x:c>
      <x:c r="I17" s="344" t="str"/>
      <x:c r="J17" s="360" t="str"/>
      <x:c r="K17" s="361" t="str">
        <x:f>IF(F17="Multiple Choice",IF(I17="","",IF(UPPER(TRIM(I17))=VLOOKUP(A17,'Answer Key &amp; Scoring'!$A$6:$J$65,4,FALSE),N17,0)),"")</x:f>
      </x:c>
      <x:c r="L17" s="360" t="str"/>
      <x:c r="M17" s="361" t="str">
        <x:f>IF(F17="Multiple Choice",K17,IF(L17="","",MIN(L17,N17)))</x:f>
      </x:c>
      <x:c r="N17" s="361" t="n">
        <x:v>4</x:v>
      </x:c>
      <x:c r="O17" s="361" t="n">
        <x:v>3</x:v>
      </x:c>
      <x:c r="P17" s="361" t="str">
        <x:f>IF(F17="Multiple Choice",IF(I17="","Not scored",IF(M17&gt;=O17,"Pass","Gap")),IF(L17="","Not scored",IF(M17&gt;=O17,"Pass","Gap")))</x:f>
        <x:v>Not scored</x:v>
      </x:c>
      <x:c r="Q17" s="338" t="str">
        <x:v>Causal/Diagnostic</x:v>
      </x:c>
      <x:c r="R17" s="338" t="str">
        <x:v>Use a broken-RAG lab and isolate ingestion, embedding, indexing, retrieval, and generation failures.</x:v>
      </x:c>
      <x:c r="S17" s="350" t="n">
        <x:f>IF(P17="Gap",D17,999)</x:f>
        <x:v>999</x:v>
      </x:c>
    </x:row>
    <x:row r="18" ht="72" customHeight="1">
      <x:c r="A18" s="354" t="str">
        <x:v>Q013</x:v>
      </x:c>
      <x:c r="B18" s="355" t="n">
        <x:v>2</x:v>
      </x:c>
      <x:c r="C18" s="355" t="str">
        <x:v>Layer 2 — Prompt systems and application interaction</x:v>
      </x:c>
      <x:c r="D18" s="355" t="n">
        <x:v>35</x:v>
      </x:c>
      <x:c r="E18" s="338" t="str">
        <x:v>Token limits, request validation, and response handling</x:v>
      </x:c>
      <x:c r="F18" s="338" t="str">
        <x:v>Multiple Choice</x:v>
      </x:c>
      <x:c r="G18" s="338" t="str">
        <x:v>What is the strongest way to obtain reliable machine-readable FM output?</x:v>
      </x:c>
      <x:c r="H18" s="338" t="str">
        <x:v>A. Ask for a table in natural language only
B. Define a structured output or JSON schema and validate the response
C. Increase temperature
D. Add more unrelated context</x:v>
      </x:c>
      <x:c r="I18" s="344" t="str"/>
      <x:c r="J18" s="360" t="str"/>
      <x:c r="K18" s="361" t="str">
        <x:f>IF(F18="Multiple Choice",IF(I18="","",IF(UPPER(TRIM(I18))=VLOOKUP(A18,'Answer Key &amp; Scoring'!$A$6:$J$65,4,FALSE),N18,0)),"")</x:f>
      </x:c>
      <x:c r="L18" s="360" t="str"/>
      <x:c r="M18" s="361" t="str">
        <x:f>IF(F18="Multiple Choice",K18,IF(L18="","",MIN(L18,N18)))</x:f>
      </x:c>
      <x:c r="N18" s="361" t="n">
        <x:v>1</x:v>
      </x:c>
      <x:c r="O18" s="361" t="n">
        <x:v>1</x:v>
      </x:c>
      <x:c r="P18" s="361" t="str">
        <x:f>IF(F18="Multiple Choice",IF(I18="","Not scored",IF(M18&gt;=O18,"Pass","Gap")),IF(L18="","Not scored",IF(M18&gt;=O18,"Pass","Gap")))</x:f>
        <x:v>Not scored</x:v>
      </x:c>
      <x:c r="Q18" s="338" t="str">
        <x:v>Procedural</x:v>
      </x:c>
      <x:c r="R18" s="338" t="str">
        <x:v>Implement a structured-output request and reject responses that fail schema validation.</x:v>
      </x:c>
      <x:c r="S18" s="350" t="n">
        <x:f>IF(P18="Gap",D18,999)</x:f>
        <x:v>999</x:v>
      </x:c>
    </x:row>
    <x:row r="19" ht="72" customHeight="1">
      <x:c r="A19" s="354" t="str">
        <x:v>Q014</x:v>
      </x:c>
      <x:c r="B19" s="355" t="n">
        <x:v>2</x:v>
      </x:c>
      <x:c r="C19" s="355" t="str">
        <x:v>Layer 2 — Prompt systems and application interaction</x:v>
      </x:c>
      <x:c r="D19" s="355" t="n">
        <x:v>27</x:v>
      </x:c>
      <x:c r="E19" s="338" t="str">
        <x:v>Conversation context, history, intent, and state management</x:v>
      </x:c>
      <x:c r="F19" s="338" t="str">
        <x:v>Multiple Choice</x:v>
      </x:c>
      <x:c r="G19" s="338" t="str">
        <x:v>What is a major risk of carrying an entire conversation history into every model request?</x:v>
      </x:c>
      <x:c r="H19" s="338" t="str">
        <x:v>A. It guarantees perfect memory
B. It eliminates token cost
C. It can expose sensitive history, consume tokens, and introduce irrelevant context
D. It prevents all hallucinations</x:v>
      </x:c>
      <x:c r="I19" s="344" t="str"/>
      <x:c r="J19" s="360" t="str"/>
      <x:c r="K19" s="361" t="str">
        <x:f>IF(F19="Multiple Choice",IF(I19="","",IF(UPPER(TRIM(I19))=VLOOKUP(A19,'Answer Key &amp; Scoring'!$A$6:$J$65,4,FALSE),N19,0)),"")</x:f>
      </x:c>
      <x:c r="L19" s="360" t="str"/>
      <x:c r="M19" s="361" t="str">
        <x:f>IF(F19="Multiple Choice",K19,IF(L19="","",MIN(L19,N19)))</x:f>
      </x:c>
      <x:c r="N19" s="361" t="n">
        <x:v>1</x:v>
      </x:c>
      <x:c r="O19" s="361" t="n">
        <x:v>1</x:v>
      </x:c>
      <x:c r="P19" s="361" t="str">
        <x:f>IF(F19="Multiple Choice",IF(I19="","Not scored",IF(M19&gt;=O19,"Pass","Gap")),IF(L19="","Not scored",IF(M19&gt;=O19,"Pass","Gap")))</x:f>
        <x:v>Not scored</x:v>
      </x:c>
      <x:c r="Q19" s="338" t="str">
        <x:v>Causal/Normative</x:v>
      </x:c>
      <x:c r="R19" s="338" t="str">
        <x:v>Design a conversation-memory policy covering relevance, retention, privacy, and token limits.</x:v>
      </x:c>
      <x:c r="S19" s="350" t="n">
        <x:f>IF(P19="Gap",D19,999)</x:f>
        <x:v>999</x:v>
      </x:c>
    </x:row>
    <x:row r="20" ht="72" customHeight="1">
      <x:c r="A20" s="354" t="str">
        <x:v>Q015</x:v>
      </x:c>
      <x:c r="B20" s="355" t="n">
        <x:v>2</x:v>
      </x:c>
      <x:c r="C20" s="355" t="str">
        <x:v>Layer 2 — Prompt systems and application interaction</x:v>
      </x:c>
      <x:c r="D20" s="355" t="n">
        <x:v>30</x:v>
      </x:c>
      <x:c r="E20" s="338" t="str">
        <x:v>Prompt regression testing and quality assurance</x:v>
      </x:c>
      <x:c r="F20" s="338" t="str">
        <x:v>Multiple Choice</x:v>
      </x:c>
      <x:c r="G20" s="338" t="str">
        <x:v>Before promoting a changed production prompt, what is the most appropriate control?</x:v>
      </x:c>
      <x:c r="H20" s="338" t="str">
        <x:v>A. Run versioned regression tests against a representative golden dataset
B. Test one easy example manually
C. Increase provisioned throughput
D. Remove logging</x:v>
      </x:c>
      <x:c r="I20" s="344" t="str"/>
      <x:c r="J20" s="360" t="str"/>
      <x:c r="K20" s="361" t="str">
        <x:f>IF(F20="Multiple Choice",IF(I20="","",IF(UPPER(TRIM(I20))=VLOOKUP(A20,'Answer Key &amp; Scoring'!$A$6:$J$65,4,FALSE),N20,0)),"")</x:f>
      </x:c>
      <x:c r="L20" s="360" t="str"/>
      <x:c r="M20" s="361" t="str">
        <x:f>IF(F20="Multiple Choice",K20,IF(L20="","",MIN(L20,N20)))</x:f>
      </x:c>
      <x:c r="N20" s="361" t="n">
        <x:v>1</x:v>
      </x:c>
      <x:c r="O20" s="361" t="n">
        <x:v>1</x:v>
      </x:c>
      <x:c r="P20" s="361" t="str">
        <x:f>IF(F20="Multiple Choice",IF(I20="","Not scored",IF(M20&gt;=O20,"Pass","Gap")),IF(L20="","Not scored",IF(M20&gt;=O20,"Pass","Gap")))</x:f>
        <x:v>Not scored</x:v>
      </x:c>
      <x:c r="Q20" s="338" t="str">
        <x:v>Procedural/Strategic</x:v>
      </x:c>
      <x:c r="R20" s="338" t="str">
        <x:v>Create prompt versions and a regression suite with pass/fail quality criteria.</x:v>
      </x:c>
      <x:c r="S20" s="350" t="n">
        <x:f>IF(P20="Gap",D20,999)</x:f>
        <x:v>999</x:v>
      </x:c>
    </x:row>
    <x:row r="21" ht="72" customHeight="1">
      <x:c r="A21" s="354" t="str">
        <x:v>Q016</x:v>
      </x:c>
      <x:c r="B21" s="355" t="n">
        <x:v>2</x:v>
      </x:c>
      <x:c r="C21" s="355" t="str">
        <x:v>Layer 2 — Prompt systems and application interaction</x:v>
      </x:c>
      <x:c r="D21" s="355" t="n">
        <x:v>34</x:v>
      </x:c>
      <x:c r="E21" s="338" t="str">
        <x:v>Streaming responses, WebSockets, and server-sent events</x:v>
      </x:c>
      <x:c r="F21" s="338" t="str">
        <x:v>Multiple Choice</x:v>
      </x:c>
      <x:c r="G21" s="338" t="str">
        <x:v>What is the principal user-experience benefit of response streaming?</x:v>
      </x:c>
      <x:c r="H21" s="338" t="str">
        <x:v>A. It always lowers total model cost
B. It makes the answer deterministic
C. It removes the need for error handling
D. It reduces perceived latency by delivering output incrementally</x:v>
      </x:c>
      <x:c r="I21" s="344" t="str"/>
      <x:c r="J21" s="360" t="str"/>
      <x:c r="K21" s="361" t="str">
        <x:f>IF(F21="Multiple Choice",IF(I21="","",IF(UPPER(TRIM(I21))=VLOOKUP(A21,'Answer Key &amp; Scoring'!$A$6:$J$65,4,FALSE),N21,0)),"")</x:f>
      </x:c>
      <x:c r="L21" s="360" t="str"/>
      <x:c r="M21" s="361" t="str">
        <x:f>IF(F21="Multiple Choice",K21,IF(L21="","",MIN(L21,N21)))</x:f>
      </x:c>
      <x:c r="N21" s="361" t="n">
        <x:v>1</x:v>
      </x:c>
      <x:c r="O21" s="361" t="n">
        <x:v>1</x:v>
      </x:c>
      <x:c r="P21" s="361" t="str">
        <x:f>IF(F21="Multiple Choice",IF(I21="","Not scored",IF(M21&gt;=O21,"Pass","Gap")),IF(L21="","Not scored",IF(M21&gt;=O21,"Pass","Gap")))</x:f>
        <x:v>Not scored</x:v>
      </x:c>
      <x:c r="Q21" s="338" t="str">
        <x:v>Conceptual</x:v>
      </x:c>
      <x:c r="R21" s="338" t="str">
        <x:v>Implement a streaming client and compare time-to-first-token with a non-streaming request.</x:v>
      </x:c>
      <x:c r="S21" s="350" t="n">
        <x:f>IF(P21="Gap",D21,999)</x:f>
        <x:v>999</x:v>
      </x:c>
    </x:row>
    <x:row r="22" ht="72" customHeight="1">
      <x:c r="A22" s="354" t="str">
        <x:v>Q017</x:v>
      </x:c>
      <x:c r="B22" s="355" t="n">
        <x:v>2</x:v>
      </x:c>
      <x:c r="C22" s="355" t="str">
        <x:v>Layer 2 — Prompt systems and application interaction</x:v>
      </x:c>
      <x:c r="D22" s="355" t="n">
        <x:v>32</x:v>
      </x:c>
      <x:c r="E22" s="338" t="str">
        <x:v>Synchronous FM API integration</x:v>
      </x:c>
      <x:c r="F22" s="338" t="str">
        <x:v>Short Response</x:v>
      </x:c>
      <x:c r="G22" s="338" t="str">
        <x:v>Contrast synchronous, asynchronous, and streaming FM interactions. Give one appropriate use case for each.</x:v>
      </x:c>
      <x:c r="H22" s="338" t="str">
        <x:v>Write a concise comparison focused on response timing, client behavior, and workload characteristics.</x:v>
      </x:c>
      <x:c r="I22" s="344" t="str"/>
      <x:c r="J22" s="360" t="str"/>
      <x:c r="K22" s="361" t="str">
        <x:f>IF(F22="Multiple Choice",IF(I22="","",IF(UPPER(TRIM(I22))=VLOOKUP(A22,'Answer Key &amp; Scoring'!$A$6:$J$65,4,FALSE),N22,0)),"")</x:f>
      </x:c>
      <x:c r="L22" s="360" t="str"/>
      <x:c r="M22" s="361" t="str">
        <x:f>IF(F22="Multiple Choice",K22,IF(L22="","",MIN(L22,N22)))</x:f>
      </x:c>
      <x:c r="N22" s="361" t="n">
        <x:v>2</x:v>
      </x:c>
      <x:c r="O22" s="361" t="n">
        <x:v>1.5</x:v>
      </x:c>
      <x:c r="P22" s="361" t="str">
        <x:f>IF(F22="Multiple Choice",IF(I22="","Not scored",IF(M22&gt;=O22,"Pass","Gap")),IF(L22="","Not scored",IF(M22&gt;=O22,"Pass","Gap")))</x:f>
        <x:v>Not scored</x:v>
      </x:c>
      <x:c r="Q22" s="338" t="str">
        <x:v>Conditional</x:v>
      </x:c>
      <x:c r="R22" s="338" t="str">
        <x:v>Classify ten workloads into synchronous, asynchronous, or streaming patterns and justify each choice.</x:v>
      </x:c>
      <x:c r="S22" s="350" t="n">
        <x:f>IF(P22="Gap",D22,999)</x:f>
        <x:v>999</x:v>
      </x:c>
    </x:row>
    <x:row r="23" ht="72" customHeight="1">
      <x:c r="A23" s="354" t="str">
        <x:v>Q018</x:v>
      </x:c>
      <x:c r="B23" s="355" t="n">
        <x:v>2</x:v>
      </x:c>
      <x:c r="C23" s="355" t="str">
        <x:v>Layer 2 — Prompt systems and application interaction</x:v>
      </x:c>
      <x:c r="D23" s="355" t="n">
        <x:v>36</x:v>
      </x:c>
      <x:c r="E23" s="338" t="str">
        <x:v>Retries, exponential backoff, rate limiting, and timeouts</x:v>
      </x:c>
      <x:c r="F23" s="338" t="str">
        <x:v>Scenario / Practical</x:v>
      </x:c>
      <x:c r="G23" s="338" t="str">
        <x:v>A service is being throttled and retries are making the outage worse. Propose a resilient correction.</x:v>
      </x:c>
      <x:c r="H23" s="338" t="str">
        <x:v>Address retry behavior, load regulation, duplicate processing, fallback, and observability.</x:v>
      </x:c>
      <x:c r="I23" s="344" t="str"/>
      <x:c r="J23" s="360" t="str"/>
      <x:c r="K23" s="361" t="str">
        <x:f>IF(F23="Multiple Choice",IF(I23="","",IF(UPPER(TRIM(I23))=VLOOKUP(A23,'Answer Key &amp; Scoring'!$A$6:$J$65,4,FALSE),N23,0)),"")</x:f>
      </x:c>
      <x:c r="L23" s="360" t="str"/>
      <x:c r="M23" s="361" t="str">
        <x:f>IF(F23="Multiple Choice",K23,IF(L23="","",MIN(L23,N23)))</x:f>
      </x:c>
      <x:c r="N23" s="361" t="n">
        <x:v>4</x:v>
      </x:c>
      <x:c r="O23" s="361" t="n">
        <x:v>3</x:v>
      </x:c>
      <x:c r="P23" s="361" t="str">
        <x:f>IF(F23="Multiple Choice",IF(I23="","Not scored",IF(M23&gt;=O23,"Pass","Gap")),IF(L23="","Not scored",IF(M23&gt;=O23,"Pass","Gap")))</x:f>
        <x:v>Not scored</x:v>
      </x:c>
      <x:c r="Q23" s="338" t="str">
        <x:v>Causal/Diagnostic</x:v>
      </x:c>
      <x:c r="R23" s="338" t="str">
        <x:v>Run a throttling simulation and correct a retry storm using backoff, queueing, and circuit breakers.</x:v>
      </x:c>
      <x:c r="S23" s="350" t="n">
        <x:f>IF(P23="Gap",D23,999)</x:f>
        <x:v>999</x:v>
      </x:c>
    </x:row>
    <x:row r="24" ht="72" customHeight="1">
      <x:c r="A24" s="354" t="str">
        <x:v>Q019</x:v>
      </x:c>
      <x:c r="B24" s="355" t="n">
        <x:v>3</x:v>
      </x:c>
      <x:c r="C24" s="355" t="str">
        <x:v>Layer 3 — Models, routing, and deployment</x:v>
      </x:c>
      <x:c r="D24" s="355" t="n">
        <x:v>40</x:v>
      </x:c>
      <x:c r="E24" s="338" t="str">
        <x:v>Cost–quality–latency model-selection trade-offs</x:v>
      </x:c>
      <x:c r="F24" s="338" t="str">
        <x:v>Multiple Choice</x:v>
      </x:c>
      <x:c r="G24" s="338" t="str">
        <x:v>A high-volume routine classification task meets quality requirements with a smaller model. What is usually the best choice?</x:v>
      </x:c>
      <x:c r="H24" s="338" t="str">
        <x:v>A. Use the smaller capable model to reduce cost and latency
B. Always use the largest available model
C. Fine-tune every model first
D. Disable evaluation</x:v>
      </x:c>
      <x:c r="I24" s="344" t="str"/>
      <x:c r="J24" s="360" t="str"/>
      <x:c r="K24" s="361" t="str">
        <x:f>IF(F24="Multiple Choice",IF(I24="","",IF(UPPER(TRIM(I24))=VLOOKUP(A24,'Answer Key &amp; Scoring'!$A$6:$J$65,4,FALSE),N24,0)),"")</x:f>
      </x:c>
      <x:c r="L24" s="360" t="str"/>
      <x:c r="M24" s="361" t="str">
        <x:f>IF(F24="Multiple Choice",K24,IF(L24="","",MIN(L24,N24)))</x:f>
      </x:c>
      <x:c r="N24" s="361" t="n">
        <x:v>1</x:v>
      </x:c>
      <x:c r="O24" s="361" t="n">
        <x:v>1</x:v>
      </x:c>
      <x:c r="P24" s="361" t="str">
        <x:f>IF(F24="Multiple Choice",IF(I24="","Not scored",IF(M24&gt;=O24,"Pass","Gap")),IF(L24="","Not scored",IF(M24&gt;=O24,"Pass","Gap")))</x:f>
        <x:v>Not scored</x:v>
      </x:c>
      <x:c r="Q24" s="338" t="str">
        <x:v>Conditional/Strategic</x:v>
      </x:c>
      <x:c r="R24" s="338" t="str">
        <x:v>Compare models with a quality-cost-latency scorecard.</x:v>
      </x:c>
      <x:c r="S24" s="350" t="n">
        <x:f>IF(P24="Gap",D24,999)</x:f>
        <x:v>999</x:v>
      </x:c>
    </x:row>
    <x:row r="25" ht="72" customHeight="1">
      <x:c r="A25" s="354" t="str">
        <x:v>Q020</x:v>
      </x:c>
      <x:c r="B25" s="355" t="n">
        <x:v>3</x:v>
      </x:c>
      <x:c r="C25" s="355" t="str">
        <x:v>Layer 3 — Models, routing, and deployment</x:v>
      </x:c>
      <x:c r="D25" s="355" t="n">
        <x:v>41</x:v>
      </x:c>
      <x:c r="E25" s="338" t="str">
        <x:v>Static and dynamic model routing</x:v>
      </x:c>
      <x:c r="F25" s="338" t="str">
        <x:v>Multiple Choice</x:v>
      </x:c>
      <x:c r="G25" s="338" t="str">
        <x:v>What architecture best supports switching models without modifying each calling application?</x:v>
      </x:c>
      <x:c r="H25" s="338" t="str">
        <x:v>A. Hard-code the provider in every client
B. Copy the application for every model
C. Use a stable abstraction or routing layer controlled through configuration
D. Store the model name in user prompts</x:v>
      </x:c>
      <x:c r="I25" s="344" t="str"/>
      <x:c r="J25" s="360" t="str"/>
      <x:c r="K25" s="361" t="str">
        <x:f>IF(F25="Multiple Choice",IF(I25="","",IF(UPPER(TRIM(I25))=VLOOKUP(A25,'Answer Key &amp; Scoring'!$A$6:$J$65,4,FALSE),N25,0)),"")</x:f>
      </x:c>
      <x:c r="L25" s="360" t="str"/>
      <x:c r="M25" s="361" t="str">
        <x:f>IF(F25="Multiple Choice",K25,IF(L25="","",MIN(L25,N25)))</x:f>
      </x:c>
      <x:c r="N25" s="361" t="n">
        <x:v>1</x:v>
      </x:c>
      <x:c r="O25" s="361" t="n">
        <x:v>1</x:v>
      </x:c>
      <x:c r="P25" s="361" t="str">
        <x:f>IF(F25="Multiple Choice",IF(I25="","Not scored",IF(M25&gt;=O25,"Pass","Gap")),IF(L25="","Not scored",IF(M25&gt;=O25,"Pass","Gap")))</x:f>
        <x:v>Not scored</x:v>
      </x:c>
      <x:c r="Q25" s="338" t="str">
        <x:v>Conceptual/Strategic</x:v>
      </x:c>
      <x:c r="R25" s="338" t="str">
        <x:v>Implement a stable model interface with configuration-driven routing.</x:v>
      </x:c>
      <x:c r="S25" s="350" t="n">
        <x:f>IF(P25="Gap",D25,999)</x:f>
        <x:v>999</x:v>
      </x:c>
    </x:row>
    <x:row r="26" ht="72" customHeight="1">
      <x:c r="A26" s="354" t="str">
        <x:v>Q021</x:v>
      </x:c>
      <x:c r="B26" s="355" t="n">
        <x:v>3</x:v>
      </x:c>
      <x:c r="C26" s="355" t="str">
        <x:v>Layer 3 — Models, routing, and deployment</x:v>
      </x:c>
      <x:c r="D26" s="355" t="n">
        <x:v>44</x:v>
      </x:c>
      <x:c r="E26" s="338" t="str">
        <x:v>On-demand and provisioned-throughput deployment</x:v>
      </x:c>
      <x:c r="F26" s="338" t="str">
        <x:v>Multiple Choice</x:v>
      </x:c>
      <x:c r="G26" s="338" t="str">
        <x:v>When is provisioned throughput most likely to be justified?</x:v>
      </x:c>
      <x:c r="H26" s="338" t="str">
        <x:v>A. A rare experiment with unpredictable use
B. Sustained predictable demand requiring reserved capacity or consistent throughput
C. A static website
D. A one-time data export</x:v>
      </x:c>
      <x:c r="I26" s="344" t="str"/>
      <x:c r="J26" s="360" t="str"/>
      <x:c r="K26" s="361" t="str">
        <x:f>IF(F26="Multiple Choice",IF(I26="","",IF(UPPER(TRIM(I26))=VLOOKUP(A26,'Answer Key &amp; Scoring'!$A$6:$J$65,4,FALSE),N26,0)),"")</x:f>
      </x:c>
      <x:c r="L26" s="360" t="str"/>
      <x:c r="M26" s="361" t="str">
        <x:f>IF(F26="Multiple Choice",K26,IF(L26="","",MIN(L26,N26)))</x:f>
      </x:c>
      <x:c r="N26" s="361" t="n">
        <x:v>1</x:v>
      </x:c>
      <x:c r="O26" s="361" t="n">
        <x:v>1</x:v>
      </x:c>
      <x:c r="P26" s="361" t="str">
        <x:f>IF(F26="Multiple Choice",IF(I26="","Not scored",IF(M26&gt;=O26,"Pass","Gap")),IF(L26="","Not scored",IF(M26&gt;=O26,"Pass","Gap")))</x:f>
        <x:v>Not scored</x:v>
      </x:c>
      <x:c r="Q26" s="338" t="str">
        <x:v>Conditional</x:v>
      </x:c>
      <x:c r="R26" s="338" t="str">
        <x:v>Compare on-demand and provisioned deployment economics for variable and steady workloads.</x:v>
      </x:c>
      <x:c r="S26" s="350" t="n">
        <x:f>IF(P26="Gap",D26,999)</x:f>
        <x:v>999</x:v>
      </x:c>
    </x:row>
    <x:row r="27" ht="72" customHeight="1">
      <x:c r="A27" s="354" t="str">
        <x:v>Q022</x:v>
      </x:c>
      <x:c r="B27" s="355" t="n">
        <x:v>3</x:v>
      </x:c>
      <x:c r="C27" s="355" t="str">
        <x:v>Layer 3 — Models, routing, and deployment</x:v>
      </x:c>
      <x:c r="D27" s="355" t="n">
        <x:v>47</x:v>
      </x:c>
      <x:c r="E27" s="338" t="str">
        <x:v>Model customization, fine-tuning, LoRA, and adapters</x:v>
      </x:c>
      <x:c r="F27" s="338" t="str">
        <x:v>Multiple Choice</x:v>
      </x:c>
      <x:c r="G27" s="338" t="str">
        <x:v>What is the principal idea behind LoRA or adapter-based customization?</x:v>
      </x:c>
      <x:c r="H27" s="338" t="str">
        <x:v>A. Replace retrieval with caching
B. Store the entire training dataset in the prompt
C. Increase context-window size
D. Adapt a model by training a relatively small set of additional or low-rank parameters</x:v>
      </x:c>
      <x:c r="I27" s="344" t="str"/>
      <x:c r="J27" s="360" t="str"/>
      <x:c r="K27" s="361" t="str">
        <x:f>IF(F27="Multiple Choice",IF(I27="","",IF(UPPER(TRIM(I27))=VLOOKUP(A27,'Answer Key &amp; Scoring'!$A$6:$J$65,4,FALSE),N27,0)),"")</x:f>
      </x:c>
      <x:c r="L27" s="360" t="str"/>
      <x:c r="M27" s="361" t="str">
        <x:f>IF(F27="Multiple Choice",K27,IF(L27="","",MIN(L27,N27)))</x:f>
      </x:c>
      <x:c r="N27" s="361" t="n">
        <x:v>1</x:v>
      </x:c>
      <x:c r="O27" s="361" t="n">
        <x:v>1</x:v>
      </x:c>
      <x:c r="P27" s="361" t="str">
        <x:f>IF(F27="Multiple Choice",IF(I27="","Not scored",IF(M27&gt;=O27,"Pass","Gap")),IF(L27="","Not scored",IF(M27&gt;=O27,"Pass","Gap")))</x:f>
        <x:v>Not scored</x:v>
      </x:c>
      <x:c r="Q27" s="338" t="str">
        <x:v>Declarative/Conceptual</x:v>
      </x:c>
      <x:c r="R27" s="338" t="str">
        <x:v>Compare prompting, RAG, full fine-tuning, and parameter-efficient adaptation by use case.</x:v>
      </x:c>
      <x:c r="S27" s="350" t="n">
        <x:f>IF(P27="Gap",D27,999)</x:f>
        <x:v>999</x:v>
      </x:c>
    </x:row>
    <x:row r="28" ht="72" customHeight="1">
      <x:c r="A28" s="354" t="str">
        <x:v>Q023</x:v>
      </x:c>
      <x:c r="B28" s="355" t="n">
        <x:v>3</x:v>
      </x:c>
      <x:c r="C28" s="355" t="str">
        <x:v>Layer 3 — Models, routing, and deployment</x:v>
      </x:c>
      <x:c r="D28" s="355" t="n">
        <x:v>44</x:v>
      </x:c>
      <x:c r="E28" s="338" t="str">
        <x:v>On-demand and provisioned-throughput deployment</x:v>
      </x:c>
      <x:c r="F28" s="338" t="str">
        <x:v>Short Response</x:v>
      </x:c>
      <x:c r="G28" s="338" t="str">
        <x:v>Contrast on-demand Bedrock invocation, provisioned throughput, and a SageMaker-hosted endpoint.</x:v>
      </x:c>
      <x:c r="H28" s="338" t="str">
        <x:v>Address operational control, capacity pattern, and typical selection criteria.</x:v>
      </x:c>
      <x:c r="I28" s="344" t="str"/>
      <x:c r="J28" s="360" t="str"/>
      <x:c r="K28" s="361" t="str">
        <x:f>IF(F28="Multiple Choice",IF(I28="","",IF(UPPER(TRIM(I28))=VLOOKUP(A28,'Answer Key &amp; Scoring'!$A$6:$J$65,4,FALSE),N28,0)),"")</x:f>
      </x:c>
      <x:c r="L28" s="360" t="str"/>
      <x:c r="M28" s="361" t="str">
        <x:f>IF(F28="Multiple Choice",K28,IF(L28="","",MIN(L28,N28)))</x:f>
      </x:c>
      <x:c r="N28" s="361" t="n">
        <x:v>2</x:v>
      </x:c>
      <x:c r="O28" s="361" t="n">
        <x:v>1.5</x:v>
      </x:c>
      <x:c r="P28" s="361" t="str">
        <x:f>IF(F28="Multiple Choice",IF(I28="","Not scored",IF(M28&gt;=O28,"Pass","Gap")),IF(L28="","Not scored",IF(M28&gt;=O28,"Pass","Gap")))</x:f>
        <x:v>Not scored</x:v>
      </x:c>
      <x:c r="Q28" s="338" t="str">
        <x:v>Conditional/Embedded</x:v>
      </x:c>
      <x:c r="R28" s="338" t="str">
        <x:v>Build a deployment decision table using traffic, model ownership, control, latency, and operations.</x:v>
      </x:c>
      <x:c r="S28" s="350" t="n">
        <x:f>IF(P28="Gap",D28,999)</x:f>
        <x:v>999</x:v>
      </x:c>
    </x:row>
    <x:row r="29" ht="72" customHeight="1">
      <x:c r="A29" s="354" t="str">
        <x:v>Q024</x:v>
      </x:c>
      <x:c r="B29" s="355" t="n">
        <x:v>3</x:v>
      </x:c>
      <x:c r="C29" s="355" t="str">
        <x:v>Layer 3 — Models, routing, and deployment</x:v>
      </x:c>
      <x:c r="D29" s="355" t="n">
        <x:v>43</x:v>
      </x:c>
      <x:c r="E29" s="338" t="str">
        <x:v>Cross-Region inference and model resilience</x:v>
      </x:c>
      <x:c r="F29" s="338" t="str">
        <x:v>Scenario / Practical</x:v>
      </x:c>
      <x:c r="G29" s="338" t="str">
        <x:v>Design resilience for a production application when the preferred model or Region is unavailable.</x:v>
      </x:c>
      <x:c r="H29" s="338" t="str">
        <x:v>Describe detection, routing, degradation, and recovery behavior.</x:v>
      </x:c>
      <x:c r="I29" s="344" t="str"/>
      <x:c r="J29" s="360" t="str"/>
      <x:c r="K29" s="361" t="str">
        <x:f>IF(F29="Multiple Choice",IF(I29="","",IF(UPPER(TRIM(I29))=VLOOKUP(A29,'Answer Key &amp; Scoring'!$A$6:$J$65,4,FALSE),N29,0)),"")</x:f>
      </x:c>
      <x:c r="L29" s="360" t="str"/>
      <x:c r="M29" s="361" t="str">
        <x:f>IF(F29="Multiple Choice",K29,IF(L29="","",MIN(L29,N29)))</x:f>
      </x:c>
      <x:c r="N29" s="361" t="n">
        <x:v>4</x:v>
      </x:c>
      <x:c r="O29" s="361" t="n">
        <x:v>3</x:v>
      </x:c>
      <x:c r="P29" s="361" t="str">
        <x:f>IF(F29="Multiple Choice",IF(I29="","Not scored",IF(M29&gt;=O29,"Pass","Gap")),IF(L29="","Not scored",IF(M29&gt;=O29,"Pass","Gap")))</x:f>
        <x:v>Not scored</x:v>
      </x:c>
      <x:c r="Q29" s="338" t="str">
        <x:v>Strategic</x:v>
      </x:c>
      <x:c r="R29" s="338" t="str">
        <x:v>Create and test a model/Region failure plan with fallback and graceful-degradation behavior.</x:v>
      </x:c>
      <x:c r="S29" s="350" t="n">
        <x:f>IF(P29="Gap",D29,999)</x:f>
        <x:v>999</x:v>
      </x:c>
    </x:row>
    <x:row r="30" ht="72" customHeight="1">
      <x:c r="A30" s="354" t="str">
        <x:v>Q025</x:v>
      </x:c>
      <x:c r="B30" s="355" t="n">
        <x:v>4</x:v>
      </x:c>
      <x:c r="C30" s="355" t="str">
        <x:v>Layer 4 — Application and enterprise integration</x:v>
      </x:c>
      <x:c r="D30" s="355" t="n">
        <x:v>52</x:v>
      </x:c>
      <x:c r="E30" s="338" t="str">
        <x:v>Event-driven GenAI application patterns</x:v>
      </x:c>
      <x:c r="F30" s="338" t="str">
        <x:v>Multiple Choice</x:v>
      </x:c>
      <x:c r="G30" s="338" t="str">
        <x:v>When is an event-driven integration pattern most appropriate?</x:v>
      </x:c>
      <x:c r="H30" s="338" t="str">
        <x:v>A. When every component must share one transaction and respond immediately
B. When producers and consumers should be loosely coupled and work can be processed asynchronously
C. When no failure handling is required
D. When prompts must be stored in source code</x:v>
      </x:c>
      <x:c r="I30" s="344" t="str"/>
      <x:c r="J30" s="360" t="str"/>
      <x:c r="K30" s="361" t="str">
        <x:f>IF(F30="Multiple Choice",IF(I30="","",IF(UPPER(TRIM(I30))=VLOOKUP(A30,'Answer Key &amp; Scoring'!$A$6:$J$65,4,FALSE),N30,0)),"")</x:f>
      </x:c>
      <x:c r="L30" s="360" t="str"/>
      <x:c r="M30" s="361" t="str">
        <x:f>IF(F30="Multiple Choice",K30,IF(L30="","",MIN(L30,N30)))</x:f>
      </x:c>
      <x:c r="N30" s="361" t="n">
        <x:v>1</x:v>
      </x:c>
      <x:c r="O30" s="361" t="n">
        <x:v>1</x:v>
      </x:c>
      <x:c r="P30" s="361" t="str">
        <x:f>IF(F30="Multiple Choice",IF(I30="","Not scored",IF(M30&gt;=O30,"Pass","Gap")),IF(L30="","Not scored",IF(M30&gt;=O30,"Pass","Gap")))</x:f>
        <x:v>Not scored</x:v>
      </x:c>
      <x:c r="Q30" s="338" t="str">
        <x:v>Conditional</x:v>
      </x:c>
      <x:c r="R30" s="338" t="str">
        <x:v>Compare event, queue, workflow, and synchronous API patterns for enterprise workloads.</x:v>
      </x:c>
      <x:c r="S30" s="350" t="n">
        <x:f>IF(P30="Gap",D30,999)</x:f>
        <x:v>999</x:v>
      </x:c>
    </x:row>
    <x:row r="31" ht="72" customHeight="1">
      <x:c r="A31" s="354" t="str">
        <x:v>Q026</x:v>
      </x:c>
      <x:c r="B31" s="355" t="n">
        <x:v>4</x:v>
      </x:c>
      <x:c r="C31" s="355" t="str">
        <x:v>Layer 4 — Application and enterprise integration</x:v>
      </x:c>
      <x:c r="D31" s="355" t="n">
        <x:v>54</x:v>
      </x:c>
      <x:c r="E31" s="338" t="str">
        <x:v>Identity federation and role-based FM and data access</x:v>
      </x:c>
      <x:c r="F31" s="338" t="str">
        <x:v>Multiple Choice</x:v>
      </x:c>
      <x:c r="G31" s="338" t="str">
        <x:v>What is the preferred way to grant enterprise users controlled access to FM and data resources?</x:v>
      </x:c>
      <x:c r="H31" s="338" t="str">
        <x:v>A. Share long-lived administrator credentials
B. Make model endpoints public
C. Use identity federation and least-privilege IAM roles or policies
D. Put credentials in prompts</x:v>
      </x:c>
      <x:c r="I31" s="344" t="str"/>
      <x:c r="J31" s="360" t="str"/>
      <x:c r="K31" s="361" t="str">
        <x:f>IF(F31="Multiple Choice",IF(I31="","",IF(UPPER(TRIM(I31))=VLOOKUP(A31,'Answer Key &amp; Scoring'!$A$6:$J$65,4,FALSE),N31,0)),"")</x:f>
      </x:c>
      <x:c r="L31" s="360" t="str"/>
      <x:c r="M31" s="361" t="str">
        <x:f>IF(F31="Multiple Choice",K31,IF(L31="","",MIN(L31,N31)))</x:f>
      </x:c>
      <x:c r="N31" s="361" t="n">
        <x:v>1</x:v>
      </x:c>
      <x:c r="O31" s="361" t="n">
        <x:v>1</x:v>
      </x:c>
      <x:c r="P31" s="361" t="str">
        <x:f>IF(F31="Multiple Choice",IF(I31="","Not scored",IF(M31&gt;=O31,"Pass","Gap")),IF(L31="","Not scored",IF(M31&gt;=O31,"Pass","Gap")))</x:f>
        <x:v>Not scored</x:v>
      </x:c>
      <x:c r="Q31" s="338" t="str">
        <x:v>Normative/Embedded</x:v>
      </x:c>
      <x:c r="R31" s="338" t="str">
        <x:v>Implement a federated or role-based access pattern and test denied operations.</x:v>
      </x:c>
      <x:c r="S31" s="350" t="n">
        <x:f>IF(P31="Gap",D31,999)</x:f>
        <x:v>999</x:v>
      </x:c>
    </x:row>
    <x:row r="32" ht="72" customHeight="1">
      <x:c r="A32" s="354" t="str">
        <x:v>Q027</x:v>
      </x:c>
      <x:c r="B32" s="355" t="n">
        <x:v>4</x:v>
      </x:c>
      <x:c r="C32" s="355" t="str">
        <x:v>Layer 4 — Application and enterprise integration</x:v>
      </x:c>
      <x:c r="D32" s="355" t="n">
        <x:v>55</x:v>
      </x:c>
      <x:c r="E32" s="338" t="str">
        <x:v>Hybrid, on-premises, edge, and jurisdictional architectures</x:v>
      </x:c>
      <x:c r="F32" s="338" t="str">
        <x:v>Multiple Choice</x:v>
      </x:c>
      <x:c r="G32" s="338" t="str">
        <x:v>A regulation requires customer records to remain in a specific jurisdiction. What is the soundest architecture principle?</x:v>
      </x:c>
      <x:c r="H32" s="338" t="str">
        <x:v>A. Keep restricted data and processing within approved boundaries and expose only approved outputs or interfaces
B. Replicate all data globally for performance
C. Send raw records to every model provider
D. Disable audit logging</x:v>
      </x:c>
      <x:c r="I32" s="344" t="str"/>
      <x:c r="J32" s="360" t="str"/>
      <x:c r="K32" s="361" t="str">
        <x:f>IF(F32="Multiple Choice",IF(I32="","",IF(UPPER(TRIM(I32))=VLOOKUP(A32,'Answer Key &amp; Scoring'!$A$6:$J$65,4,FALSE),N32,0)),"")</x:f>
      </x:c>
      <x:c r="L32" s="360" t="str"/>
      <x:c r="M32" s="361" t="str">
        <x:f>IF(F32="Multiple Choice",K32,IF(L32="","",MIN(L32,N32)))</x:f>
      </x:c>
      <x:c r="N32" s="361" t="n">
        <x:v>1</x:v>
      </x:c>
      <x:c r="O32" s="361" t="n">
        <x:v>1</x:v>
      </x:c>
      <x:c r="P32" s="361" t="str">
        <x:f>IF(F32="Multiple Choice",IF(I32="","Not scored",IF(M32&gt;=O32,"Pass","Gap")),IF(L32="","Not scored",IF(M32&gt;=O32,"Pass","Gap")))</x:f>
        <x:v>Not scored</x:v>
      </x:c>
      <x:c r="Q32" s="338" t="str">
        <x:v>Strategic/Normative</x:v>
      </x:c>
      <x:c r="R32" s="338" t="str">
        <x:v>Design a hybrid or regional architecture that marks where restricted data may and may not flow.</x:v>
      </x:c>
      <x:c r="S32" s="350" t="n">
        <x:f>IF(P32="Gap",D32,999)</x:f>
        <x:v>999</x:v>
      </x:c>
    </x:row>
    <x:row r="33" ht="72" customHeight="1">
      <x:c r="A33" s="354" t="str">
        <x:v>Q028</x:v>
      </x:c>
      <x:c r="B33" s="355" t="n">
        <x:v>4</x:v>
      </x:c>
      <x:c r="C33" s="355" t="str">
        <x:v>Layer 4 — Application and enterprise integration</x:v>
      </x:c>
      <x:c r="D33" s="355" t="n">
        <x:v>59</x:v>
      </x:c>
      <x:c r="E33" s="338" t="str">
        <x:v>Automated testing, security scanning, deployment gates, and rollback</x:v>
      </x:c>
      <x:c r="F33" s="338" t="str">
        <x:v>Multiple Choice</x:v>
      </x:c>
      <x:c r="G33" s="338" t="str">
        <x:v>Which deployment process best limits risk from a new model or prompt version?</x:v>
      </x:c>
      <x:c r="H33" s="338" t="str">
        <x:v>A. Replace production immediately without tests
B. Rely on user complaints
C. Disable versioning
D. Use automated quality/security gates, staged or canary rollout, monitoring, and rollback</x:v>
      </x:c>
      <x:c r="I33" s="344" t="str"/>
      <x:c r="J33" s="360" t="str"/>
      <x:c r="K33" s="361" t="str">
        <x:f>IF(F33="Multiple Choice",IF(I33="","",IF(UPPER(TRIM(I33))=VLOOKUP(A33,'Answer Key &amp; Scoring'!$A$6:$J$65,4,FALSE),N33,0)),"")</x:f>
      </x:c>
      <x:c r="L33" s="360" t="str"/>
      <x:c r="M33" s="361" t="str">
        <x:f>IF(F33="Multiple Choice",K33,IF(L33="","",MIN(L33,N33)))</x:f>
      </x:c>
      <x:c r="N33" s="361" t="n">
        <x:v>1</x:v>
      </x:c>
      <x:c r="O33" s="361" t="n">
        <x:v>1</x:v>
      </x:c>
      <x:c r="P33" s="361" t="str">
        <x:f>IF(F33="Multiple Choice",IF(I33="","Not scored",IF(M33&gt;=O33,"Pass","Gap")),IF(L33="","Not scored",IF(M33&gt;=O33,"Pass","Gap")))</x:f>
        <x:v>Not scored</x:v>
      </x:c>
      <x:c r="Q33" s="338" t="str">
        <x:v>Procedural/Strategic</x:v>
      </x:c>
      <x:c r="R33" s="338" t="str">
        <x:v>Build a pipeline with prompt/model regression gates and a rollback drill.</x:v>
      </x:c>
      <x:c r="S33" s="350" t="n">
        <x:f>IF(P33="Gap",D33,999)</x:f>
        <x:v>999</x:v>
      </x:c>
    </x:row>
    <x:row r="34" ht="72" customHeight="1">
      <x:c r="A34" s="354" t="str">
        <x:v>Q029</x:v>
      </x:c>
      <x:c r="B34" s="355" t="n">
        <x:v>4</x:v>
      </x:c>
      <x:c r="C34" s="355" t="str">
        <x:v>Layer 4 — Application and enterprise integration</x:v>
      </x:c>
      <x:c r="D34" s="355" t="n">
        <x:v>56</x:v>
      </x:c>
      <x:c r="E34" s="338" t="str">
        <x:v>GenAI gateway architecture</x:v>
      </x:c>
      <x:c r="F34" s="338" t="str">
        <x:v>Short Response</x:v>
      </x:c>
      <x:c r="G34" s="338" t="str">
        <x:v>What is a GenAI gateway, and what enterprise concerns can it centralize?</x:v>
      </x:c>
      <x:c r="H34" s="338" t="str">
        <x:v>Mention the stable access layer and at least three centralized controls.</x:v>
      </x:c>
      <x:c r="I34" s="344" t="str"/>
      <x:c r="J34" s="360" t="str"/>
      <x:c r="K34" s="361" t="str">
        <x:f>IF(F34="Multiple Choice",IF(I34="","",IF(UPPER(TRIM(I34))=VLOOKUP(A34,'Answer Key &amp; Scoring'!$A$6:$J$65,4,FALSE),N34,0)),"")</x:f>
      </x:c>
      <x:c r="L34" s="360" t="str"/>
      <x:c r="M34" s="361" t="str">
        <x:f>IF(F34="Multiple Choice",K34,IF(L34="","",MIN(L34,N34)))</x:f>
      </x:c>
      <x:c r="N34" s="361" t="n">
        <x:v>2</x:v>
      </x:c>
      <x:c r="O34" s="361" t="n">
        <x:v>1.5</x:v>
      </x:c>
      <x:c r="P34" s="361" t="str">
        <x:f>IF(F34="Multiple Choice",IF(I34="","Not scored",IF(M34&gt;=O34,"Pass","Gap")),IF(L34="","Not scored",IF(M34&gt;=O34,"Pass","Gap")))</x:f>
        <x:v>Not scored</x:v>
      </x:c>
      <x:c r="Q34" s="338" t="str">
        <x:v>Conceptual/Institutional</x:v>
      </x:c>
      <x:c r="R34" s="338" t="str">
        <x:v>Draw a GenAI gateway and assign controls that should be centralized versus application-specific.</x:v>
      </x:c>
      <x:c r="S34" s="350" t="n">
        <x:f>IF(P34="Gap",D34,999)</x:f>
        <x:v>999</x:v>
      </x:c>
    </x:row>
    <x:row r="35" ht="72" customHeight="1">
      <x:c r="A35" s="354" t="str">
        <x:v>Q030</x:v>
      </x:c>
      <x:c r="B35" s="355" t="n">
        <x:v>4</x:v>
      </x:c>
      <x:c r="C35" s="355" t="str">
        <x:v>Layer 4 — Application and enterprise integration</x:v>
      </x:c>
      <x:c r="D35" s="355" t="n">
        <x:v>53</x:v>
      </x:c>
      <x:c r="E35" s="338" t="str">
        <x:v>Legacy-system and enterprise-system integration</x:v>
      </x:c>
      <x:c r="F35" s="338" t="str">
        <x:v>Scenario / Practical</x:v>
      </x:c>
      <x:c r="G35" s="338" t="str">
        <x:v>Design an integration that adds GenAI-assisted case summarization to a legacy CRM without tightly coupling the CRM to a model provider.</x:v>
      </x:c>
      <x:c r="H35" s="338" t="str">
        <x:v>Address integration pattern, security, reliability, auditability, and deployment controls.</x:v>
      </x:c>
      <x:c r="I35" s="344" t="str"/>
      <x:c r="J35" s="360" t="str"/>
      <x:c r="K35" s="361" t="str">
        <x:f>IF(F35="Multiple Choice",IF(I35="","",IF(UPPER(TRIM(I35))=VLOOKUP(A35,'Answer Key &amp; Scoring'!$A$6:$J$65,4,FALSE),N35,0)),"")</x:f>
      </x:c>
      <x:c r="L35" s="360" t="str"/>
      <x:c r="M35" s="361" t="str">
        <x:f>IF(F35="Multiple Choice",K35,IF(L35="","",MIN(L35,N35)))</x:f>
      </x:c>
      <x:c r="N35" s="361" t="n">
        <x:v>4</x:v>
      </x:c>
      <x:c r="O35" s="361" t="n">
        <x:v>3</x:v>
      </x:c>
      <x:c r="P35" s="361" t="str">
        <x:f>IF(F35="Multiple Choice",IF(I35="","Not scored",IF(M35&gt;=O35,"Pass","Gap")),IF(L35="","Not scored",IF(M35&gt;=O35,"Pass","Gap")))</x:f>
        <x:v>Not scored</x:v>
      </x:c>
      <x:c r="Q35" s="338" t="str">
        <x:v>Strategic/Institutional</x:v>
      </x:c>
      <x:c r="R35" s="338" t="str">
        <x:v>Complete an enterprise integration architecture case and defend coupling, security, and failure behavior.</x:v>
      </x:c>
      <x:c r="S35" s="350" t="n">
        <x:f>IF(P35="Gap",D35,999)</x:f>
        <x:v>999</x:v>
      </x:c>
    </x:row>
    <x:row r="36" ht="72" customHeight="1">
      <x:c r="A36" s="354" t="str">
        <x:v>Q031</x:v>
      </x:c>
      <x:c r="B36" s="355" t="n">
        <x:v>5</x:v>
      </x:c>
      <x:c r="C36" s="355" t="str">
        <x:v>Layer 5 — Tools and agentic AI</x:v>
      </x:c>
      <x:c r="D36" s="355" t="n">
        <x:v>61</x:v>
      </x:c>
      <x:c r="E36" s="338" t="str">
        <x:v>Function calling and tool-interface design</x:v>
      </x:c>
      <x:c r="F36" s="338" t="str">
        <x:v>Multiple Choice</x:v>
      </x:c>
      <x:c r="G36" s="338" t="str">
        <x:v>What should a reliable agent tool definition contain?</x:v>
      </x:c>
      <x:c r="H36" s="338" t="str">
        <x:v>A. Only a tool name
B. Clear purpose, typed parameters, constraints, and validation expectations
C. The user's password
D. Unbounded permissions</x:v>
      </x:c>
      <x:c r="I36" s="344" t="str"/>
      <x:c r="J36" s="360" t="str"/>
      <x:c r="K36" s="361" t="str">
        <x:f>IF(F36="Multiple Choice",IF(I36="","",IF(UPPER(TRIM(I36))=VLOOKUP(A36,'Answer Key &amp; Scoring'!$A$6:$J$65,4,FALSE),N36,0)),"")</x:f>
      </x:c>
      <x:c r="L36" s="360" t="str"/>
      <x:c r="M36" s="361" t="str">
        <x:f>IF(F36="Multiple Choice",K36,IF(L36="","",MIN(L36,N36)))</x:f>
      </x:c>
      <x:c r="N36" s="361" t="n">
        <x:v>1</x:v>
      </x:c>
      <x:c r="O36" s="361" t="n">
        <x:v>1</x:v>
      </x:c>
      <x:c r="P36" s="361" t="str">
        <x:f>IF(F36="Multiple Choice",IF(I36="","Not scored",IF(M36&gt;=O36,"Pass","Gap")),IF(L36="","Not scored",IF(M36&gt;=O36,"Pass","Gap")))</x:f>
        <x:v>Not scored</x:v>
      </x:c>
      <x:c r="Q36" s="338" t="str">
        <x:v>Procedural</x:v>
      </x:c>
      <x:c r="R36" s="338" t="str">
        <x:v>Design tool schemas and test valid, invalid, and ambiguous calls.</x:v>
      </x:c>
      <x:c r="S36" s="350" t="n">
        <x:f>IF(P36="Gap",D36,999)</x:f>
        <x:v>999</x:v>
      </x:c>
    </x:row>
    <x:row r="37" ht="72" customHeight="1">
      <x:c r="A37" s="354" t="str">
        <x:v>Q032</x:v>
      </x:c>
      <x:c r="B37" s="355" t="n">
        <x:v>5</x:v>
      </x:c>
      <x:c r="C37" s="355" t="str">
        <x:v>Layer 5 — Tools and agentic AI</x:v>
      </x:c>
      <x:c r="D37" s="355" t="n">
        <x:v>66</x:v>
      </x:c>
      <x:c r="E37" s="338" t="str">
        <x:v>Agent memory and state management</x:v>
      </x:c>
      <x:c r="F37" s="338" t="str">
        <x:v>Multiple Choice</x:v>
      </x:c>
      <x:c r="G37" s="338" t="str">
        <x:v>Where should durable agent state usually be kept when it must survive separate invocations?</x:v>
      </x:c>
      <x:c r="H37" s="338" t="str">
        <x:v>A. Only in local process memory
B. In the model weights
C. In an external controlled state store with defined retention and access
D. In an unauthenticated URL</x:v>
      </x:c>
      <x:c r="I37" s="344" t="str"/>
      <x:c r="J37" s="360" t="str"/>
      <x:c r="K37" s="361" t="str">
        <x:f>IF(F37="Multiple Choice",IF(I37="","",IF(UPPER(TRIM(I37))=VLOOKUP(A37,'Answer Key &amp; Scoring'!$A$6:$J$65,4,FALSE),N37,0)),"")</x:f>
      </x:c>
      <x:c r="L37" s="360" t="str"/>
      <x:c r="M37" s="361" t="str">
        <x:f>IF(F37="Multiple Choice",K37,IF(L37="","",MIN(L37,N37)))</x:f>
      </x:c>
      <x:c r="N37" s="361" t="n">
        <x:v>1</x:v>
      </x:c>
      <x:c r="O37" s="361" t="n">
        <x:v>1</x:v>
      </x:c>
      <x:c r="P37" s="361" t="str">
        <x:f>IF(F37="Multiple Choice",IF(I37="","Not scored",IF(M37&gt;=O37,"Pass","Gap")),IF(L37="","Not scored",IF(M37&gt;=O37,"Pass","Gap")))</x:f>
        <x:v>Not scored</x:v>
      </x:c>
      <x:c r="Q37" s="338" t="str">
        <x:v>Conceptual/Embedded</x:v>
      </x:c>
      <x:c r="R37" s="338" t="str">
        <x:v>Implement an agent with explicit session state in a controlled external store.</x:v>
      </x:c>
      <x:c r="S37" s="350" t="n">
        <x:f>IF(P37="Gap",D37,999)</x:f>
        <x:v>999</x:v>
      </x:c>
    </x:row>
    <x:row r="38" ht="72" customHeight="1">
      <x:c r="A38" s="354" t="str">
        <x:v>Q033</x:v>
      </x:c>
      <x:c r="B38" s="355" t="n">
        <x:v>5</x:v>
      </x:c>
      <x:c r="C38" s="355" t="str">
        <x:v>Layer 5 — Tools and agentic AI</x:v>
      </x:c>
      <x:c r="D38" s="355" t="n">
        <x:v>68</x:v>
      </x:c>
      <x:c r="E38" s="338" t="str">
        <x:v>Agent stopping conditions, timeouts, boundaries, and circuit breakers</x:v>
      </x:c>
      <x:c r="F38" s="338" t="str">
        <x:v>Multiple Choice</x:v>
      </x:c>
      <x:c r="G38" s="338" t="str">
        <x:v>An agent repeatedly calls the same failing tool. What control most directly prevents an infinite loop?</x:v>
      </x:c>
      <x:c r="H38" s="338" t="str">
        <x:v>A. Maximum steps, stopping conditions, timeouts, and circuit breakers
B. Higher temperature
C. A larger vector index
D. Removing traces</x:v>
      </x:c>
      <x:c r="I38" s="344" t="str"/>
      <x:c r="J38" s="360" t="str"/>
      <x:c r="K38" s="361" t="str">
        <x:f>IF(F38="Multiple Choice",IF(I38="","",IF(UPPER(TRIM(I38))=VLOOKUP(A38,'Answer Key &amp; Scoring'!$A$6:$J$65,4,FALSE),N38,0)),"")</x:f>
      </x:c>
      <x:c r="L38" s="360" t="str"/>
      <x:c r="M38" s="361" t="str">
        <x:f>IF(F38="Multiple Choice",K38,IF(L38="","",MIN(L38,N38)))</x:f>
      </x:c>
      <x:c r="N38" s="361" t="n">
        <x:v>1</x:v>
      </x:c>
      <x:c r="O38" s="361" t="n">
        <x:v>1</x:v>
      </x:c>
      <x:c r="P38" s="361" t="str">
        <x:f>IF(F38="Multiple Choice",IF(I38="","Not scored",IF(M38&gt;=O38,"Pass","Gap")),IF(L38="","Not scored",IF(M38&gt;=O38,"Pass","Gap")))</x:f>
        <x:v>Not scored</x:v>
      </x:c>
      <x:c r="Q38" s="338" t="str">
        <x:v>Causal/Normative</x:v>
      </x:c>
      <x:c r="R38" s="338" t="str">
        <x:v>Inject tool failures and implement step limits, timeouts, and circuit breakers.</x:v>
      </x:c>
      <x:c r="S38" s="350" t="n">
        <x:f>IF(P38="Gap",D38,999)</x:f>
        <x:v>999</x:v>
      </x:c>
    </x:row>
    <x:row r="39" ht="72" customHeight="1">
      <x:c r="A39" s="354" t="str">
        <x:v>Q034</x:v>
      </x:c>
      <x:c r="B39" s="355" t="n">
        <x:v>5</x:v>
      </x:c>
      <x:c r="C39" s="355" t="str">
        <x:v>Layer 5 — Tools and agentic AI</x:v>
      </x:c>
      <x:c r="D39" s="355" t="n">
        <x:v>69</x:v>
      </x:c>
      <x:c r="E39" s="338" t="str">
        <x:v>Human-in-the-loop review, approval, escalation, and feedback</x:v>
      </x:c>
      <x:c r="F39" s="338" t="str">
        <x:v>Multiple Choice</x:v>
      </x:c>
      <x:c r="G39" s="338" t="str">
        <x:v>An agent proposes a high-value financial transfer. What is the safest pattern?</x:v>
      </x:c>
      <x:c r="H39" s="338" t="str">
        <x:v>A. Allow autonomous execution whenever the model is confident
B. Put the amount in the system prompt
C. Retry until accepted
D. Require policy checks and human approval before the irreversible action</x:v>
      </x:c>
      <x:c r="I39" s="344" t="str"/>
      <x:c r="J39" s="360" t="str"/>
      <x:c r="K39" s="361" t="str">
        <x:f>IF(F39="Multiple Choice",IF(I39="","",IF(UPPER(TRIM(I39))=VLOOKUP(A39,'Answer Key &amp; Scoring'!$A$6:$J$65,4,FALSE),N39,0)),"")</x:f>
      </x:c>
      <x:c r="L39" s="360" t="str"/>
      <x:c r="M39" s="361" t="str">
        <x:f>IF(F39="Multiple Choice",K39,IF(L39="","",MIN(L39,N39)))</x:f>
      </x:c>
      <x:c r="N39" s="361" t="n">
        <x:v>1</x:v>
      </x:c>
      <x:c r="O39" s="361" t="n">
        <x:v>1</x:v>
      </x:c>
      <x:c r="P39" s="361" t="str">
        <x:f>IF(F39="Multiple Choice",IF(I39="","Not scored",IF(M39&gt;=O39,"Pass","Gap")),IF(L39="","Not scored",IF(M39&gt;=O39,"Pass","Gap")))</x:f>
        <x:v>Not scored</x:v>
      </x:c>
      <x:c r="Q39" s="338" t="str">
        <x:v>Conditional/Normative</x:v>
      </x:c>
      <x:c r="R39" s="338" t="str">
        <x:v>Design risk-based human-in-the-loop approval and escalation rules.</x:v>
      </x:c>
      <x:c r="S39" s="350" t="n">
        <x:f>IF(P39="Gap",D39,999)</x:f>
        <x:v>999</x:v>
      </x:c>
    </x:row>
    <x:row r="40" ht="72" customHeight="1">
      <x:c r="A40" s="354" t="str">
        <x:v>Q035</x:v>
      </x:c>
      <x:c r="B40" s="355" t="n">
        <x:v>5</x:v>
      </x:c>
      <x:c r="C40" s="355" t="str">
        <x:v>Layer 5 — Tools and agentic AI</x:v>
      </x:c>
      <x:c r="D40" s="355" t="n">
        <x:v>64</x:v>
      </x:c>
      <x:c r="E40" s="338" t="str">
        <x:v>Single-agent architecture and orchestration</x:v>
      </x:c>
      <x:c r="F40" s="338" t="str">
        <x:v>Short Response</x:v>
      </x:c>
      <x:c r="G40" s="338" t="str">
        <x:v>Explain when an agent is preferable to a deterministic workflow—and when it is not.</x:v>
      </x:c>
      <x:c r="H40" s="338" t="str">
        <x:v>Give one suitable and one unsuitable example.</x:v>
      </x:c>
      <x:c r="I40" s="344" t="str"/>
      <x:c r="J40" s="360" t="str"/>
      <x:c r="K40" s="361" t="str">
        <x:f>IF(F40="Multiple Choice",IF(I40="","",IF(UPPER(TRIM(I40))=VLOOKUP(A40,'Answer Key &amp; Scoring'!$A$6:$J$65,4,FALSE),N40,0)),"")</x:f>
      </x:c>
      <x:c r="L40" s="360" t="str"/>
      <x:c r="M40" s="361" t="str">
        <x:f>IF(F40="Multiple Choice",K40,IF(L40="","",MIN(L40,N40)))</x:f>
      </x:c>
      <x:c r="N40" s="361" t="n">
        <x:v>2</x:v>
      </x:c>
      <x:c r="O40" s="361" t="n">
        <x:v>1.5</x:v>
      </x:c>
      <x:c r="P40" s="361" t="str">
        <x:f>IF(F40="Multiple Choice",IF(I40="","Not scored",IF(M40&gt;=O40,"Pass","Gap")),IF(L40="","Not scored",IF(M40&gt;=O40,"Pass","Gap")))</x:f>
        <x:v>Not scored</x:v>
      </x:c>
      <x:c r="Q40" s="338" t="str">
        <x:v>Conditional/Strategic</x:v>
      </x:c>
      <x:c r="R40" s="338" t="str">
        <x:v>Compare agentic and deterministic designs for several workflows and justify the simpler safe choice.</x:v>
      </x:c>
      <x:c r="S40" s="350" t="n">
        <x:f>IF(P40="Gap",D40,999)</x:f>
        <x:v>999</x:v>
      </x:c>
    </x:row>
    <x:row r="41" ht="72" customHeight="1">
      <x:c r="A41" s="354" t="str">
        <x:v>Q036</x:v>
      </x:c>
      <x:c r="B41" s="355" t="n">
        <x:v>5</x:v>
      </x:c>
      <x:c r="C41" s="355" t="str">
        <x:v>Layer 5 — Tools and agentic AI</x:v>
      </x:c>
      <x:c r="D41" s="355" t="n">
        <x:v>67</x:v>
      </x:c>
      <x:c r="E41" s="338" t="str">
        <x:v>Tool-use reliability and failure recovery</x:v>
      </x:c>
      <x:c r="F41" s="338" t="str">
        <x:v>Scenario / Practical</x:v>
      </x:c>
      <x:c r="G41" s="338" t="str">
        <x:v>An agent enters a loop: it retries a search tool, receives the same empty result, and never terminates. Diagnose the likely design gaps and propose corrections.</x:v>
      </x:c>
      <x:c r="H41" s="338" t="str">
        <x:v>Address state, error interpretation, stopping, observability, and fallback.</x:v>
      </x:c>
      <x:c r="I41" s="344" t="str"/>
      <x:c r="J41" s="360" t="str"/>
      <x:c r="K41" s="361" t="str">
        <x:f>IF(F41="Multiple Choice",IF(I41="","",IF(UPPER(TRIM(I41))=VLOOKUP(A41,'Answer Key &amp; Scoring'!$A$6:$J$65,4,FALSE),N41,0)),"")</x:f>
      </x:c>
      <x:c r="L41" s="360" t="str"/>
      <x:c r="M41" s="361" t="str">
        <x:f>IF(F41="Multiple Choice",K41,IF(L41="","",MIN(L41,N41)))</x:f>
      </x:c>
      <x:c r="N41" s="361" t="n">
        <x:v>4</x:v>
      </x:c>
      <x:c r="O41" s="361" t="n">
        <x:v>3</x:v>
      </x:c>
      <x:c r="P41" s="361" t="str">
        <x:f>IF(F41="Multiple Choice",IF(I41="","Not scored",IF(M41&gt;=O41,"Pass","Gap")),IF(L41="","Not scored",IF(M41&gt;=O41,"Pass","Gap")))</x:f>
        <x:v>Not scored</x:v>
      </x:c>
      <x:c r="Q41" s="338" t="str">
        <x:v>Causal/Diagnostic</x:v>
      </x:c>
      <x:c r="R41" s="338" t="str">
        <x:v>Use an agent trajectory lab to identify planning, tool, state, and stopping failures.</x:v>
      </x:c>
      <x:c r="S41" s="350" t="n">
        <x:f>IF(P41="Gap",D41,999)</x:f>
        <x:v>999</x:v>
      </x:c>
    </x:row>
    <x:row r="42" ht="72" customHeight="1">
      <x:c r="A42" s="354" t="str">
        <x:v>Q037</x:v>
      </x:c>
      <x:c r="B42" s="355" t="n">
        <x:v>6</x:v>
      </x:c>
      <x:c r="C42" s="355" t="str">
        <x:v>Layer 6 — Safety, security, and privacy</x:v>
      </x:c>
      <x:c r="D42" s="355" t="n">
        <x:v>78</x:v>
      </x:c>
      <x:c r="E42" s="338" t="str">
        <x:v>Prompt-injection and jailbreak threats</x:v>
      </x:c>
      <x:c r="F42" s="338" t="str">
        <x:v>Multiple Choice</x:v>
      </x:c>
      <x:c r="G42" s="338" t="str">
        <x:v>Which response best addresses prompt injection in a tool-using RAG application?</x:v>
      </x:c>
      <x:c r="H42" s="338" t="str">
        <x:v>A. Trust all retrieved text as instructions
B. Increase model size
C. Treat external content as untrusted, separate instructions from data, restrict tools and data by authorization, validate actions, and monitor
D. Disable source attribution</x:v>
      </x:c>
      <x:c r="I42" s="344" t="str"/>
      <x:c r="J42" s="360" t="str"/>
      <x:c r="K42" s="361" t="str">
        <x:f>IF(F42="Multiple Choice",IF(I42="","",IF(UPPER(TRIM(I42))=VLOOKUP(A42,'Answer Key &amp; Scoring'!$A$6:$J$65,4,FALSE),N42,0)),"")</x:f>
      </x:c>
      <x:c r="L42" s="360" t="str"/>
      <x:c r="M42" s="361" t="str">
        <x:f>IF(F42="Multiple Choice",K42,IF(L42="","",MIN(L42,N42)))</x:f>
      </x:c>
      <x:c r="N42" s="361" t="n">
        <x:v>1</x:v>
      </x:c>
      <x:c r="O42" s="361" t="n">
        <x:v>1</x:v>
      </x:c>
      <x:c r="P42" s="361" t="str">
        <x:f>IF(F42="Multiple Choice",IF(I42="","Not scored",IF(M42&gt;=O42,"Pass","Gap")),IF(L42="","Not scored",IF(M42&gt;=O42,"Pass","Gap")))</x:f>
        <x:v>Not scored</x:v>
      </x:c>
      <x:c r="Q42" s="338" t="str">
        <x:v>Normative/Strategic</x:v>
      </x:c>
      <x:c r="R42" s="338" t="str">
        <x:v>Threat-model direct and indirect prompt injection across retrieval and tool boundaries.</x:v>
      </x:c>
      <x:c r="S42" s="350" t="n">
        <x:f>IF(P42="Gap",D42,999)</x:f>
        <x:v>999</x:v>
      </x:c>
    </x:row>
    <x:row r="43" ht="72" customHeight="1">
      <x:c r="A43" s="354" t="str">
        <x:v>Q038</x:v>
      </x:c>
      <x:c r="B43" s="355" t="n">
        <x:v>6</x:v>
      </x:c>
      <x:c r="C43" s="355" t="str">
        <x:v>Layer 6 — Safety, security, and privacy</x:v>
      </x:c>
      <x:c r="D43" s="355" t="n">
        <x:v>76</x:v>
      </x:c>
      <x:c r="E43" s="338" t="str">
        <x:v>Grounding, factual verification, confidence, and hallucination reduction</x:v>
      </x:c>
      <x:c r="F43" s="338" t="str">
        <x:v>Multiple Choice</x:v>
      </x:c>
      <x:c r="G43" s="338" t="str">
        <x:v>What is the correct claim about grounding an FM with retrieved evidence?</x:v>
      </x:c>
      <x:c r="H43" s="338" t="str">
        <x:v>A. It guarantees every answer is correct
B. It can reduce unsupported answers by supplying relevant evidence, but verification and abstention may still be needed
C. It removes the need for access controls
D. It makes the model deterministic</x:v>
      </x:c>
      <x:c r="I43" s="344" t="str"/>
      <x:c r="J43" s="360" t="str"/>
      <x:c r="K43" s="361" t="str">
        <x:f>IF(F43="Multiple Choice",IF(I43="","",IF(UPPER(TRIM(I43))=VLOOKUP(A43,'Answer Key &amp; Scoring'!$A$6:$J$65,4,FALSE),N43,0)),"")</x:f>
      </x:c>
      <x:c r="L43" s="360" t="str"/>
      <x:c r="M43" s="361" t="str">
        <x:f>IF(F43="Multiple Choice",K43,IF(L43="","",MIN(L43,N43)))</x:f>
      </x:c>
      <x:c r="N43" s="361" t="n">
        <x:v>1</x:v>
      </x:c>
      <x:c r="O43" s="361" t="n">
        <x:v>1</x:v>
      </x:c>
      <x:c r="P43" s="361" t="str">
        <x:f>IF(F43="Multiple Choice",IF(I43="","Not scored",IF(M43&gt;=O43,"Pass","Gap")),IF(L43="","Not scored",IF(M43&gt;=O43,"Pass","Gap")))</x:f>
        <x:v>Not scored</x:v>
      </x:c>
      <x:c r="Q43" s="338" t="str">
        <x:v>Conceptual/Normative</x:v>
      </x:c>
      <x:c r="R43" s="338" t="str">
        <x:v>Evaluate grounded answers for factual support and appropriate abstention.</x:v>
      </x:c>
      <x:c r="S43" s="350" t="n">
        <x:f>IF(P43="Gap",D43,999)</x:f>
        <x:v>999</x:v>
      </x:c>
    </x:row>
    <x:row r="44" ht="72" customHeight="1">
      <x:c r="A44" s="354" t="str">
        <x:v>Q039</x:v>
      </x:c>
      <x:c r="B44" s="355" t="n">
        <x:v>6</x:v>
      </x:c>
      <x:c r="C44" s="355" t="str">
        <x:v>Layer 6 — Safety, security, and privacy</x:v>
      </x:c>
      <x:c r="D44" s="355" t="n">
        <x:v>77</x:v>
      </x:c>
      <x:c r="E44" s="338" t="str">
        <x:v>Structured and deterministic output controls</x:v>
      </x:c>
      <x:c r="F44" s="338" t="str">
        <x:v>Multiple Choice</x:v>
      </x:c>
      <x:c r="G44" s="338" t="str">
        <x:v>A model generates SQL that could affect production data. What is the strongest control before execution?</x:v>
      </x:c>
      <x:c r="H44" s="338" t="str">
        <x:v>A. Execute any syntactically valid SQL
B. Increase top-p
C. Ask the model whether it is safe
D. Require structured output and deterministic parsing, allow-listing, authorization, and validation before execution</x:v>
      </x:c>
      <x:c r="I44" s="344" t="str"/>
      <x:c r="J44" s="360" t="str"/>
      <x:c r="K44" s="361" t="str">
        <x:f>IF(F44="Multiple Choice",IF(I44="","",IF(UPPER(TRIM(I44))=VLOOKUP(A44,'Answer Key &amp; Scoring'!$A$6:$J$65,4,FALSE),N44,0)),"")</x:f>
      </x:c>
      <x:c r="L44" s="360" t="str"/>
      <x:c r="M44" s="361" t="str">
        <x:f>IF(F44="Multiple Choice",K44,IF(L44="","",MIN(L44,N44)))</x:f>
      </x:c>
      <x:c r="N44" s="361" t="n">
        <x:v>1</x:v>
      </x:c>
      <x:c r="O44" s="361" t="n">
        <x:v>1</x:v>
      </x:c>
      <x:c r="P44" s="361" t="str">
        <x:f>IF(F44="Multiple Choice",IF(I44="","Not scored",IF(M44&gt;=O44,"Pass","Gap")),IF(L44="","Not scored",IF(M44&gt;=O44,"Pass","Gap")))</x:f>
        <x:v>Not scored</x:v>
      </x:c>
      <x:c r="Q44" s="338" t="str">
        <x:v>Procedural/Normative</x:v>
      </x:c>
      <x:c r="R44" s="338" t="str">
        <x:v>Build a structured tool request and enforce schema, authorization, and allow-list checks.</x:v>
      </x:c>
      <x:c r="S44" s="350" t="n">
        <x:f>IF(P44="Gap",D44,999)</x:f>
        <x:v>999</x:v>
      </x:c>
    </x:row>
    <x:row r="45" ht="72" customHeight="1">
      <x:c r="A45" s="354" t="str">
        <x:v>Q040</x:v>
      </x:c>
      <x:c r="B45" s="355" t="n">
        <x:v>6</x:v>
      </x:c>
      <x:c r="C45" s="355" t="str">
        <x:v>Layer 6 — Safety, security, and privacy</x:v>
      </x:c>
      <x:c r="D45" s="355" t="n">
        <x:v>80</x:v>
      </x:c>
      <x:c r="E45" s="338" t="str">
        <x:v>Defense-in-depth GenAI safety architecture</x:v>
      </x:c>
      <x:c r="F45" s="338" t="str">
        <x:v>Multiple Choice</x:v>
      </x:c>
      <x:c r="G45" s="338" t="str">
        <x:v>Which design is a defense-in-depth safety architecture?</x:v>
      </x:c>
      <x:c r="H45" s="338" t="str">
        <x:v>A. Input checks, model guardrails, tool/data authorization, output validation, monitoring, and incident handling
B. A single prompt saying 'be safe'
C. Only post a disclaimer
D. Disable logging</x:v>
      </x:c>
      <x:c r="I45" s="344" t="str"/>
      <x:c r="J45" s="360" t="str"/>
      <x:c r="K45" s="361" t="str">
        <x:f>IF(F45="Multiple Choice",IF(I45="","",IF(UPPER(TRIM(I45))=VLOOKUP(A45,'Answer Key &amp; Scoring'!$A$6:$J$65,4,FALSE),N45,0)),"")</x:f>
      </x:c>
      <x:c r="L45" s="360" t="str"/>
      <x:c r="M45" s="361" t="str">
        <x:f>IF(F45="Multiple Choice",K45,IF(L45="","",MIN(L45,N45)))</x:f>
      </x:c>
      <x:c r="N45" s="361" t="n">
        <x:v>1</x:v>
      </x:c>
      <x:c r="O45" s="361" t="n">
        <x:v>1</x:v>
      </x:c>
      <x:c r="P45" s="361" t="str">
        <x:f>IF(F45="Multiple Choice",IF(I45="","Not scored",IF(M45&gt;=O45,"Pass","Gap")),IF(L45="","Not scored",IF(M45&gt;=O45,"Pass","Gap")))</x:f>
        <x:v>Not scored</x:v>
      </x:c>
      <x:c r="Q45" s="338" t="str">
        <x:v>Strategic/Normative</x:v>
      </x:c>
      <x:c r="R45" s="338" t="str">
        <x:v>Design layered controls and test how the system behaves when one layer is bypassed.</x:v>
      </x:c>
      <x:c r="S45" s="350" t="n">
        <x:f>IF(P45="Gap",D45,999)</x:f>
        <x:v>999</x:v>
      </x:c>
    </x:row>
    <x:row r="46" ht="72" customHeight="1">
      <x:c r="A46" s="354" t="str">
        <x:v>Q041</x:v>
      </x:c>
      <x:c r="B46" s="355" t="n">
        <x:v>6</x:v>
      </x:c>
      <x:c r="C46" s="355" t="str">
        <x:v>Layer 6 — Safety, security, and privacy</x:v>
      </x:c>
      <x:c r="D46" s="355" t="n">
        <x:v>84</x:v>
      </x:c>
      <x:c r="E46" s="338" t="str">
        <x:v>Data masking, anonymization, and redaction</x:v>
      </x:c>
      <x:c r="F46" s="338" t="str">
        <x:v>Short Response</x:v>
      </x:c>
      <x:c r="G46" s="338" t="str">
        <x:v>Contrast data masking with anonymization, and explain the utility-versus-privacy trade-off.</x:v>
      </x:c>
      <x:c r="H46" s="338" t="str">
        <x:v>Use a GenAI input or logging example.</x:v>
      </x:c>
      <x:c r="I46" s="344" t="str"/>
      <x:c r="J46" s="360" t="str"/>
      <x:c r="K46" s="361" t="str">
        <x:f>IF(F46="Multiple Choice",IF(I46="","",IF(UPPER(TRIM(I46))=VLOOKUP(A46,'Answer Key &amp; Scoring'!$A$6:$J$65,4,FALSE),N46,0)),"")</x:f>
      </x:c>
      <x:c r="L46" s="360" t="str"/>
      <x:c r="M46" s="361" t="str">
        <x:f>IF(F46="Multiple Choice",K46,IF(L46="","",MIN(L46,N46)))</x:f>
      </x:c>
      <x:c r="N46" s="361" t="n">
        <x:v>2</x:v>
      </x:c>
      <x:c r="O46" s="361" t="n">
        <x:v>1.5</x:v>
      </x:c>
      <x:c r="P46" s="361" t="str">
        <x:f>IF(F46="Multiple Choice",IF(I46="","Not scored",IF(M46&gt;=O46,"Pass","Gap")),IF(L46="","Not scored",IF(M46&gt;=O46,"Pass","Gap")))</x:f>
        <x:v>Not scored</x:v>
      </x:c>
      <x:c r="Q46" s="338" t="str">
        <x:v>Conceptual/Normative</x:v>
      </x:c>
      <x:c r="R46" s="338" t="str">
        <x:v>Compare masking, tokenization, redaction, and anonymization on a sensitive dataset.</x:v>
      </x:c>
      <x:c r="S46" s="350" t="n">
        <x:f>IF(P46="Gap",D46,999)</x:f>
        <x:v>999</x:v>
      </x:c>
    </x:row>
    <x:row r="47" ht="72" customHeight="1">
      <x:c r="A47" s="354" t="str">
        <x:v>Q042</x:v>
      </x:c>
      <x:c r="B47" s="355" t="n">
        <x:v>6</x:v>
      </x:c>
      <x:c r="C47" s="355" t="str">
        <x:v>Layer 6 — Safety, security, and privacy</x:v>
      </x:c>
      <x:c r="D47" s="355" t="n">
        <x:v>80</x:v>
      </x:c>
      <x:c r="E47" s="338" t="str">
        <x:v>Defense-in-depth GenAI safety architecture</x:v>
      </x:c>
      <x:c r="F47" s="338" t="str">
        <x:v>Scenario / Practical</x:v>
      </x:c>
      <x:c r="G47" s="338" t="str">
        <x:v>Design safety and privacy controls for a customer-support assistant that can access account data and invoke tools.</x:v>
      </x:c>
      <x:c r="H47" s="338" t="str">
        <x:v>Address identity, data access, prompt injection, input/output safety, tool control, logging, and human escalation.</x:v>
      </x:c>
      <x:c r="I47" s="344" t="str"/>
      <x:c r="J47" s="360" t="str"/>
      <x:c r="K47" s="361" t="str">
        <x:f>IF(F47="Multiple Choice",IF(I47="","",IF(UPPER(TRIM(I47))=VLOOKUP(A47,'Answer Key &amp; Scoring'!$A$6:$J$65,4,FALSE),N47,0)),"")</x:f>
      </x:c>
      <x:c r="L47" s="360" t="str"/>
      <x:c r="M47" s="361" t="str">
        <x:f>IF(F47="Multiple Choice",K47,IF(L47="","",MIN(L47,N47)))</x:f>
      </x:c>
      <x:c r="N47" s="361" t="n">
        <x:v>4</x:v>
      </x:c>
      <x:c r="O47" s="361" t="n">
        <x:v>3</x:v>
      </x:c>
      <x:c r="P47" s="361" t="str">
        <x:f>IF(F47="Multiple Choice",IF(I47="","Not scored",IF(M47&gt;=O47,"Pass","Gap")),IF(L47="","Not scored",IF(M47&gt;=O47,"Pass","Gap")))</x:f>
        <x:v>Not scored</x:v>
      </x:c>
      <x:c r="Q47" s="338" t="str">
        <x:v>Strategic/Normative</x:v>
      </x:c>
      <x:c r="R47" s="338" t="str">
        <x:v>Complete a threat model and implement a layered safe tool-use workflow.</x:v>
      </x:c>
      <x:c r="S47" s="350" t="n">
        <x:f>IF(P47="Gap",D47,999)</x:f>
        <x:v>999</x:v>
      </x:c>
    </x:row>
    <x:row r="48" ht="72" customHeight="1">
      <x:c r="A48" s="354" t="str">
        <x:v>Q043</x:v>
      </x:c>
      <x:c r="B48" s="355" t="n">
        <x:v>7</x:v>
      </x:c>
      <x:c r="C48" s="355" t="str">
        <x:v>Layer 7 — Governance and responsible AI</x:v>
      </x:c>
      <x:c r="D48" s="355" t="n">
        <x:v>86</x:v>
      </x:c>
      <x:c r="E48" s="338" t="str">
        <x:v>Data lineage and source attribution</x:v>
      </x:c>
      <x:c r="F48" s="338" t="str">
        <x:v>Multiple Choice</x:v>
      </x:c>
      <x:c r="G48" s="338" t="str">
        <x:v>What enables an organization to trace a generated statement back to its source data?</x:v>
      </x:c>
      <x:c r="H48" s="338" t="str">
        <x:v>A. Higher temperature
B. Larger output limits
C. Source metadata, lineage, retrieval evidence, and audit records
D. Removing document identifiers</x:v>
      </x:c>
      <x:c r="I48" s="344" t="str"/>
      <x:c r="J48" s="360" t="str"/>
      <x:c r="K48" s="361" t="str">
        <x:f>IF(F48="Multiple Choice",IF(I48="","",IF(UPPER(TRIM(I48))=VLOOKUP(A48,'Answer Key &amp; Scoring'!$A$6:$J$65,4,FALSE),N48,0)),"")</x:f>
      </x:c>
      <x:c r="L48" s="360" t="str"/>
      <x:c r="M48" s="361" t="str">
        <x:f>IF(F48="Multiple Choice",K48,IF(L48="","",MIN(L48,N48)))</x:f>
      </x:c>
      <x:c r="N48" s="361" t="n">
        <x:v>1</x:v>
      </x:c>
      <x:c r="O48" s="361" t="n">
        <x:v>1</x:v>
      </x:c>
      <x:c r="P48" s="361" t="str">
        <x:f>IF(F48="Multiple Choice",IF(I48="","Not scored",IF(M48&gt;=O48,"Pass","Gap")),IF(L48="","Not scored",IF(M48&gt;=O48,"Pass","Gap")))</x:f>
        <x:v>Not scored</x:v>
      </x:c>
      <x:c r="Q48" s="338" t="str">
        <x:v>Procedural/Institutional</x:v>
      </x:c>
      <x:c r="R48" s="338" t="str">
        <x:v>Trace sample outputs through document, chunk, index, prompt, and response metadata.</x:v>
      </x:c>
      <x:c r="S48" s="350" t="n">
        <x:f>IF(P48="Gap",D48,999)</x:f>
        <x:v>999</x:v>
      </x:c>
    </x:row>
    <x:row r="49" ht="72" customHeight="1">
      <x:c r="A49" s="354" t="str">
        <x:v>Q044</x:v>
      </x:c>
      <x:c r="B49" s="355" t="n">
        <x:v>7</x:v>
      </x:c>
      <x:c r="C49" s="355" t="str">
        <x:v>Layer 7 — Governance and responsible AI</x:v>
      </x:c>
      <x:c r="D49" s="355" t="n">
        <x:v>87</x:v>
      </x:c>
      <x:c r="E49" s="338" t="str">
        <x:v>Model cards and model documentation</x:v>
      </x:c>
      <x:c r="F49" s="338" t="str">
        <x:v>Multiple Choice</x:v>
      </x:c>
      <x:c r="G49" s="338" t="str">
        <x:v>What is the primary purpose of a model card?</x:v>
      </x:c>
      <x:c r="H49" s="338" t="str">
        <x:v>A. Store passwords
B. Document intended use, evaluation, limitations, risks, and relevant model information
C. Replace runtime monitoring
D. Increase throughput</x:v>
      </x:c>
      <x:c r="I49" s="344" t="str"/>
      <x:c r="J49" s="360" t="str"/>
      <x:c r="K49" s="361" t="str">
        <x:f>IF(F49="Multiple Choice",IF(I49="","",IF(UPPER(TRIM(I49))=VLOOKUP(A49,'Answer Key &amp; Scoring'!$A$6:$J$65,4,FALSE),N49,0)),"")</x:f>
      </x:c>
      <x:c r="L49" s="360" t="str"/>
      <x:c r="M49" s="361" t="str">
        <x:f>IF(F49="Multiple Choice",K49,IF(L49="","",MIN(L49,N49)))</x:f>
      </x:c>
      <x:c r="N49" s="361" t="n">
        <x:v>1</x:v>
      </x:c>
      <x:c r="O49" s="361" t="n">
        <x:v>1</x:v>
      </x:c>
      <x:c r="P49" s="361" t="str">
        <x:f>IF(F49="Multiple Choice",IF(I49="","Not scored",IF(M49&gt;=O49,"Pass","Gap")),IF(L49="","Not scored",IF(M49&gt;=O49,"Pass","Gap")))</x:f>
        <x:v>Not scored</x:v>
      </x:c>
      <x:c r="Q49" s="338" t="str">
        <x:v>Declarative/Normative</x:v>
      </x:c>
      <x:c r="R49" s="338" t="str">
        <x:v>Create and critique a model card for a specific business use case.</x:v>
      </x:c>
      <x:c r="S49" s="350" t="n">
        <x:f>IF(P49="Gap",D49,999)</x:f>
        <x:v>999</x:v>
      </x:c>
    </x:row>
    <x:row r="50" ht="72" customHeight="1">
      <x:c r="A50" s="354" t="str">
        <x:v>Q045</x:v>
      </x:c>
      <x:c r="B50" s="355" t="n">
        <x:v>7</x:v>
      </x:c>
      <x:c r="C50" s="355" t="str">
        <x:v>Layer 7 — Governance and responsible AI</x:v>
      </x:c>
      <x:c r="D50" s="355" t="n">
        <x:v>88</x:v>
      </x:c>
      <x:c r="E50" s="338" t="str">
        <x:v>Audit logging and decision traceability</x:v>
      </x:c>
      <x:c r="F50" s="338" t="str">
        <x:v>Multiple Choice</x:v>
      </x:c>
      <x:c r="G50" s="338" t="str">
        <x:v>Which evidence most directly supports auditability of a GenAI decision?</x:v>
      </x:c>
      <x:c r="H50" s="338" t="str">
        <x:v>A. Versioned prompt/model identifiers, data/source lineage, access and invocation logs, and recorded control decisions
B. A screenshot of one answer only
C. Higher model temperature
D. Deleting all logs immediately</x:v>
      </x:c>
      <x:c r="I50" s="344" t="str"/>
      <x:c r="J50" s="360" t="str"/>
      <x:c r="K50" s="361" t="str">
        <x:f>IF(F50="Multiple Choice",IF(I50="","",IF(UPPER(TRIM(I50))=VLOOKUP(A50,'Answer Key &amp; Scoring'!$A$6:$J$65,4,FALSE),N50,0)),"")</x:f>
      </x:c>
      <x:c r="L50" s="360" t="str"/>
      <x:c r="M50" s="361" t="str">
        <x:f>IF(F50="Multiple Choice",K50,IF(L50="","",MIN(L50,N50)))</x:f>
      </x:c>
      <x:c r="N50" s="361" t="n">
        <x:v>1</x:v>
      </x:c>
      <x:c r="O50" s="361" t="n">
        <x:v>1</x:v>
      </x:c>
      <x:c r="P50" s="361" t="str">
        <x:f>IF(F50="Multiple Choice",IF(I50="","Not scored",IF(M50&gt;=O50,"Pass","Gap")),IF(L50="","Not scored",IF(M50&gt;=O50,"Pass","Gap")))</x:f>
        <x:v>Not scored</x:v>
      </x:c>
      <x:c r="Q50" s="338" t="str">
        <x:v>Procedural/Institutional</x:v>
      </x:c>
      <x:c r="R50" s="338" t="str">
        <x:v>Build an evidence chain that reconstructs a model interaction and approval decision.</x:v>
      </x:c>
      <x:c r="S50" s="350" t="n">
        <x:f>IF(P50="Gap",D50,999)</x:f>
        <x:v>999</x:v>
      </x:c>
    </x:row>
    <x:row r="51" ht="72" customHeight="1">
      <x:c r="A51" s="354" t="str">
        <x:v>Q046</x:v>
      </x:c>
      <x:c r="B51" s="355" t="n">
        <x:v>7</x:v>
      </x:c>
      <x:c r="C51" s="355" t="str">
        <x:v>Layer 7 — Governance and responsible AI</x:v>
      </x:c>
      <x:c r="D51" s="355" t="n">
        <x:v>93</x:v>
      </x:c>
      <x:c r="E51" s="338" t="str">
        <x:v>Fairness metrics and subgroup evaluation</x:v>
      </x:c>
      <x:c r="F51" s="338" t="str">
        <x:v>Multiple Choice</x:v>
      </x:c>
      <x:c r="G51" s="338" t="str">
        <x:v>How should fairness be evaluated for a relevant protected or affected group?</x:v>
      </x:c>
      <x:c r="H51" s="338" t="str">
        <x:v>A. Use only overall average quality
B. Ask the model whether it is fair
C. Ignore business context
D. Compare appropriate outcome or error metrics across relevant subgroups and investigate meaningful differences</x:v>
      </x:c>
      <x:c r="I51" s="344" t="str"/>
      <x:c r="J51" s="360" t="str"/>
      <x:c r="K51" s="361" t="str">
        <x:f>IF(F51="Multiple Choice",IF(I51="","",IF(UPPER(TRIM(I51))=VLOOKUP(A51,'Answer Key &amp; Scoring'!$A$6:$J$65,4,FALSE),N51,0)),"")</x:f>
      </x:c>
      <x:c r="L51" s="360" t="str"/>
      <x:c r="M51" s="361" t="str">
        <x:f>IF(F51="Multiple Choice",K51,IF(L51="","",MIN(L51,N51)))</x:f>
      </x:c>
      <x:c r="N51" s="361" t="n">
        <x:v>1</x:v>
      </x:c>
      <x:c r="O51" s="361" t="n">
        <x:v>1</x:v>
      </x:c>
      <x:c r="P51" s="361" t="str">
        <x:f>IF(F51="Multiple Choice",IF(I51="","Not scored",IF(M51&gt;=O51,"Pass","Gap")),IF(L51="","Not scored",IF(M51&gt;=O51,"Pass","Gap")))</x:f>
        <x:v>Not scored</x:v>
      </x:c>
      <x:c r="Q51" s="338" t="str">
        <x:v>Conceptual/Normative</x:v>
      </x:c>
      <x:c r="R51" s="338" t="str">
        <x:v>Perform subgroup evaluation and explain the limitations of the selected metric.</x:v>
      </x:c>
      <x:c r="S51" s="350" t="n">
        <x:f>IF(P51="Gap",D51,999)</x:f>
        <x:v>999</x:v>
      </x:c>
    </x:row>
    <x:row r="52" ht="72" customHeight="1">
      <x:c r="A52" s="354" t="str">
        <x:v>Q047</x:v>
      </x:c>
      <x:c r="B52" s="355" t="n">
        <x:v>7</x:v>
      </x:c>
      <x:c r="C52" s="355" t="str">
        <x:v>Layer 7 — Governance and responsible AI</x:v>
      </x:c>
      <x:c r="D52" s="355" t="n">
        <x:v>89</x:v>
      </x:c>
      <x:c r="E52" s="338" t="str">
        <x:v>Organizational AI governance and accountability</x:v>
      </x:c>
      <x:c r="F52" s="338" t="str">
        <x:v>Short Response</x:v>
      </x:c>
      <x:c r="G52" s="338" t="str">
        <x:v>Describe the minimum organizational roles and decision rights needed to govern a production GenAI system.</x:v>
      </x:c>
      <x:c r="H52" s="338" t="str">
        <x:v>Include ownership, approval, monitoring, incident handling, and risk acceptance.</x:v>
      </x:c>
      <x:c r="I52" s="344" t="str"/>
      <x:c r="J52" s="360" t="str"/>
      <x:c r="K52" s="361" t="str">
        <x:f>IF(F52="Multiple Choice",IF(I52="","",IF(UPPER(TRIM(I52))=VLOOKUP(A52,'Answer Key &amp; Scoring'!$A$6:$J$65,4,FALSE),N52,0)),"")</x:f>
      </x:c>
      <x:c r="L52" s="360" t="str"/>
      <x:c r="M52" s="361" t="str">
        <x:f>IF(F52="Multiple Choice",K52,IF(L52="","",MIN(L52,N52)))</x:f>
      </x:c>
      <x:c r="N52" s="361" t="n">
        <x:v>2</x:v>
      </x:c>
      <x:c r="O52" s="361" t="n">
        <x:v>1.5</x:v>
      </x:c>
      <x:c r="P52" s="361" t="str">
        <x:f>IF(F52="Multiple Choice",IF(I52="","Not scored",IF(M52&gt;=O52,"Pass","Gap")),IF(L52="","Not scored",IF(M52&gt;=O52,"Pass","Gap")))</x:f>
        <x:v>Not scored</x:v>
      </x:c>
      <x:c r="Q52" s="338" t="str">
        <x:v>Institutional/Strategic</x:v>
      </x:c>
      <x:c r="R52" s="338" t="str">
        <x:v>Create a governance RACI and escalation model for a production use case.</x:v>
      </x:c>
      <x:c r="S52" s="350" t="n">
        <x:f>IF(P52="Gap",D52,999)</x:f>
        <x:v>999</x:v>
      </x:c>
    </x:row>
    <x:row r="53" ht="72" customHeight="1">
      <x:c r="A53" s="354" t="str">
        <x:v>Q048</x:v>
      </x:c>
      <x:c r="B53" s="355" t="n">
        <x:v>7</x:v>
      </x:c>
      <x:c r="C53" s="355" t="str">
        <x:v>Layer 7 — Governance and responsible AI</x:v>
      </x:c>
      <x:c r="D53" s="355" t="n">
        <x:v>91</x:v>
      </x:c>
      <x:c r="E53" s="338" t="str">
        <x:v>Continuous policy, misuse, bias, and drift monitoring</x:v>
      </x:c>
      <x:c r="F53" s="338" t="str">
        <x:v>Scenario / Practical</x:v>
      </x:c>
      <x:c r="G53" s="338" t="str">
        <x:v>Monitoring detects that outputs violate a newly introduced organizational policy. Describe the governance response from detection through regulatory readiness.</x:v>
      </x:c>
      <x:c r="H53" s="338" t="str">
        <x:v>Address containment, evidence, ownership, remediation, validation, and documentation.</x:v>
      </x:c>
      <x:c r="I53" s="344" t="str"/>
      <x:c r="J53" s="360" t="str"/>
      <x:c r="K53" s="361" t="str">
        <x:f>IF(F53="Multiple Choice",IF(I53="","",IF(UPPER(TRIM(I53))=VLOOKUP(A53,'Answer Key &amp; Scoring'!$A$6:$J$65,4,FALSE),N53,0)),"")</x:f>
      </x:c>
      <x:c r="L53" s="360" t="str"/>
      <x:c r="M53" s="361" t="str">
        <x:f>IF(F53="Multiple Choice",K53,IF(L53="","",MIN(L53,N53)))</x:f>
      </x:c>
      <x:c r="N53" s="361" t="n">
        <x:v>4</x:v>
      </x:c>
      <x:c r="O53" s="361" t="n">
        <x:v>3</x:v>
      </x:c>
      <x:c r="P53" s="361" t="str">
        <x:f>IF(F53="Multiple Choice",IF(I53="","Not scored",IF(M53&gt;=O53,"Pass","Gap")),IF(L53="","Not scored",IF(M53&gt;=O53,"Pass","Gap")))</x:f>
        <x:v>Not scored</x:v>
      </x:c>
      <x:c r="Q53" s="338" t="str">
        <x:v>Strategic/Institutional</x:v>
      </x:c>
      <x:c r="R53" s="338" t="str">
        <x:v>Run a policy-violation simulation with roles, evidence, remediation, and approval.</x:v>
      </x:c>
      <x:c r="S53" s="350" t="n">
        <x:f>IF(P53="Gap",D53,999)</x:f>
        <x:v>999</x:v>
      </x:c>
    </x:row>
    <x:row r="54" ht="72" customHeight="1">
      <x:c r="A54" s="354" t="str">
        <x:v>Q049</x:v>
      </x:c>
      <x:c r="B54" s="355" t="n">
        <x:v>8</x:v>
      </x:c>
      <x:c r="C54" s="355" t="str">
        <x:v>Layer 8 — Cost, performance, and operations</x:v>
      </x:c>
      <x:c r="D54" s="355" t="n">
        <x:v>96</x:v>
      </x:c>
      <x:c r="E54" s="338" t="str">
        <x:v>Token estimation, tracking, pruning, and prompt compression</x:v>
      </x:c>
      <x:c r="F54" s="338" t="str">
        <x:v>Multiple Choice</x:v>
      </x:c>
      <x:c r="G54" s="338" t="str">
        <x:v>Which action most directly reduces unnecessary token cost without changing the model?</x:v>
      </x:c>
      <x:c r="H54" s="338" t="str">
        <x:v>A. Remove irrelevant context, compress prompts, and limit output to what the task requires
B. Duplicate the same instructions
C. Add full conversation history to every request
D. Increase maximum output length</x:v>
      </x:c>
      <x:c r="I54" s="344" t="str"/>
      <x:c r="J54" s="360" t="str"/>
      <x:c r="K54" s="361" t="str">
        <x:f>IF(F54="Multiple Choice",IF(I54="","",IF(UPPER(TRIM(I54))=VLOOKUP(A54,'Answer Key &amp; Scoring'!$A$6:$J$65,4,FALSE),N54,0)),"")</x:f>
      </x:c>
      <x:c r="L54" s="360" t="str"/>
      <x:c r="M54" s="361" t="str">
        <x:f>IF(F54="Multiple Choice",K54,IF(L54="","",MIN(L54,N54)))</x:f>
      </x:c>
      <x:c r="N54" s="361" t="n">
        <x:v>1</x:v>
      </x:c>
      <x:c r="O54" s="361" t="n">
        <x:v>1</x:v>
      </x:c>
      <x:c r="P54" s="361" t="str">
        <x:f>IF(F54="Multiple Choice",IF(I54="","Not scored",IF(M54&gt;=O54,"Pass","Gap")),IF(L54="","Not scored",IF(M54&gt;=O54,"Pass","Gap")))</x:f>
        <x:v>Not scored</x:v>
      </x:c>
      <x:c r="Q54" s="338" t="str">
        <x:v>Procedural/Causal</x:v>
      </x:c>
      <x:c r="R54" s="338" t="str">
        <x:v>Profile prompts and reduce tokens while measuring quality.</x:v>
      </x:c>
      <x:c r="S54" s="350" t="n">
        <x:f>IF(P54="Gap",D54,999)</x:f>
        <x:v>999</x:v>
      </x:c>
    </x:row>
    <x:row r="55" ht="72" customHeight="1">
      <x:c r="A55" s="354" t="str">
        <x:v>Q050</x:v>
      </x:c>
      <x:c r="B55" s="355" t="n">
        <x:v>8</x:v>
      </x:c>
      <x:c r="C55" s="355" t="str">
        <x:v>Layer 8 — Cost, performance, and operations</x:v>
      </x:c>
      <x:c r="D55" s="355" t="n">
        <x:v>99</x:v>
      </x:c>
      <x:c r="E55" s="338" t="str">
        <x:v>Semantic, prompt, deterministic, and edge caching</x:v>
      </x:c>
      <x:c r="F55" s="338" t="str">
        <x:v>Multiple Choice</x:v>
      </x:c>
      <x:c r="G55" s="338" t="str">
        <x:v>What is a major safety risk of semantic caching?</x:v>
      </x:c>
      <x:c r="H55" s="338" t="str">
        <x:v>A. It cannot improve latency
B. It always increases model quality
C. A semantically similar request may differ in identity, authorization, freshness, or context and receive an inappropriate cached response
D. It removes the need for observability</x:v>
      </x:c>
      <x:c r="I55" s="344" t="str"/>
      <x:c r="J55" s="360" t="str"/>
      <x:c r="K55" s="361" t="str">
        <x:f>IF(F55="Multiple Choice",IF(I55="","",IF(UPPER(TRIM(I55))=VLOOKUP(A55,'Answer Key &amp; Scoring'!$A$6:$J$65,4,FALSE),N55,0)),"")</x:f>
      </x:c>
      <x:c r="L55" s="360" t="str"/>
      <x:c r="M55" s="361" t="str">
        <x:f>IF(F55="Multiple Choice",K55,IF(L55="","",MIN(L55,N55)))</x:f>
      </x:c>
      <x:c r="N55" s="361" t="n">
        <x:v>1</x:v>
      </x:c>
      <x:c r="O55" s="361" t="n">
        <x:v>1</x:v>
      </x:c>
      <x:c r="P55" s="361" t="str">
        <x:f>IF(F55="Multiple Choice",IF(I55="","Not scored",IF(M55&gt;=O55,"Pass","Gap")),IF(L55="","Not scored",IF(M55&gt;=O55,"Pass","Gap")))</x:f>
        <x:v>Not scored</x:v>
      </x:c>
      <x:c r="Q55" s="338" t="str">
        <x:v>Causal/Normative</x:v>
      </x:c>
      <x:c r="R55" s="338" t="str">
        <x:v>Test semantic-cache hits across users, permissions, and changing source data.</x:v>
      </x:c>
      <x:c r="S55" s="350" t="n">
        <x:f>IF(P55="Gap",D55,999)</x:f>
        <x:v>999</x:v>
      </x:c>
    </x:row>
    <x:row r="56" ht="72" customHeight="1">
      <x:c r="A56" s="354" t="str">
        <x:v>Q051</x:v>
      </x:c>
      <x:c r="B56" s="355" t="n">
        <x:v>8</x:v>
      </x:c>
      <x:c r="C56" s="355" t="str">
        <x:v>Layer 8 — Cost, performance, and operations</x:v>
      </x:c>
      <x:c r="D56" s="355" t="n">
        <x:v>100</x:v>
      </x:c>
      <x:c r="E56" s="338" t="str">
        <x:v>Batching and batch inference</x:v>
      </x:c>
      <x:c r="F56" s="338" t="str">
        <x:v>Multiple Choice</x:v>
      </x:c>
      <x:c r="G56" s="338" t="str">
        <x:v>What is the usual trade-off of batching FM work?</x:v>
      </x:c>
      <x:c r="H56" s="338" t="str">
        <x:v>A. Lower throughput and no cost benefit
B. Better throughput or utilization, but potentially greater waiting latency
C. Guaranteed deterministic output
D. Elimination of capacity planning</x:v>
      </x:c>
      <x:c r="I56" s="344" t="str"/>
      <x:c r="J56" s="360" t="str"/>
      <x:c r="K56" s="361" t="str">
        <x:f>IF(F56="Multiple Choice",IF(I56="","",IF(UPPER(TRIM(I56))=VLOOKUP(A56,'Answer Key &amp; Scoring'!$A$6:$J$65,4,FALSE),N56,0)),"")</x:f>
      </x:c>
      <x:c r="L56" s="360" t="str"/>
      <x:c r="M56" s="361" t="str">
        <x:f>IF(F56="Multiple Choice",K56,IF(L56="","",MIN(L56,N56)))</x:f>
      </x:c>
      <x:c r="N56" s="361" t="n">
        <x:v>1</x:v>
      </x:c>
      <x:c r="O56" s="361" t="n">
        <x:v>1</x:v>
      </x:c>
      <x:c r="P56" s="361" t="str">
        <x:f>IF(F56="Multiple Choice",IF(I56="","Not scored",IF(M56&gt;=O56,"Pass","Gap")),IF(L56="","Not scored",IF(M56&gt;=O56,"Pass","Gap")))</x:f>
        <x:v>Not scored</x:v>
      </x:c>
      <x:c r="Q56" s="338" t="str">
        <x:v>Causal/Conditional</x:v>
      </x:c>
      <x:c r="R56" s="338" t="str">
        <x:v>Benchmark batch size against throughput, cost, and latency.</x:v>
      </x:c>
      <x:c r="S56" s="350" t="n">
        <x:f>IF(P56="Gap",D56,999)</x:f>
        <x:v>999</x:v>
      </x:c>
    </x:row>
    <x:row r="57" ht="72" customHeight="1">
      <x:c r="A57" s="354" t="str">
        <x:v>Q052</x:v>
      </x:c>
      <x:c r="B57" s="355" t="n">
        <x:v>8</x:v>
      </x:c>
      <x:c r="C57" s="355" t="str">
        <x:v>Layer 8 — Cost, performance, and operations</x:v>
      </x:c>
      <x:c r="D57" s="355" t="n">
        <x:v>102</x:v>
      </x:c>
      <x:c r="E57" s="338" t="str">
        <x:v>Capacity planning, provisioned throughput, and autoscaling</x:v>
      </x:c>
      <x:c r="F57" s="338" t="str">
        <x:v>Multiple Choice</x:v>
      </x:c>
      <x:c r="G57" s="338" t="str">
        <x:v>Why can request count alone be an inadequate autoscaling signal for GenAI workloads?</x:v>
      </x:c>
      <x:c r="H57" s="338" t="str">
        <x:v>A. Requests are never measurable
B. Every request has identical cost
C. Autoscaling is unnecessary
D. Prompt and completion token sizes, concurrency, queue depth, and processing time can vary widely per request</x:v>
      </x:c>
      <x:c r="I57" s="344" t="str"/>
      <x:c r="J57" s="360" t="str"/>
      <x:c r="K57" s="361" t="str">
        <x:f>IF(F57="Multiple Choice",IF(I57="","",IF(UPPER(TRIM(I57))=VLOOKUP(A57,'Answer Key &amp; Scoring'!$A$6:$J$65,4,FALSE),N57,0)),"")</x:f>
      </x:c>
      <x:c r="L57" s="360" t="str"/>
      <x:c r="M57" s="361" t="str">
        <x:f>IF(F57="Multiple Choice",K57,IF(L57="","",MIN(L57,N57)))</x:f>
      </x:c>
      <x:c r="N57" s="361" t="n">
        <x:v>1</x:v>
      </x:c>
      <x:c r="O57" s="361" t="n">
        <x:v>1</x:v>
      </x:c>
      <x:c r="P57" s="361" t="str">
        <x:f>IF(F57="Multiple Choice",IF(I57="","Not scored",IF(M57&gt;=O57,"Pass","Gap")),IF(L57="","Not scored",IF(M57&gt;=O57,"Pass","Gap")))</x:f>
        <x:v>Not scored</x:v>
      </x:c>
      <x:c r="Q57" s="338" t="str">
        <x:v>Conceptual/Causal</x:v>
      </x:c>
      <x:c r="R57" s="338" t="str">
        <x:v>Build a capacity model using tokens, concurrency, queueing, and service limits.</x:v>
      </x:c>
      <x:c r="S57" s="350" t="n">
        <x:f>IF(P57="Gap",D57,999)</x:f>
        <x:v>999</x:v>
      </x:c>
    </x:row>
    <x:row r="58" ht="72" customHeight="1">
      <x:c r="A58" s="354" t="str">
        <x:v>Q053</x:v>
      </x:c>
      <x:c r="B58" s="355" t="n">
        <x:v>8</x:v>
      </x:c>
      <x:c r="C58" s="355" t="str">
        <x:v>Layer 8 — Cost, performance, and operations</x:v>
      </x:c>
      <x:c r="D58" s="355" t="n">
        <x:v>103</x:v>
      </x:c>
      <x:c r="E58" s="338" t="str">
        <x:v>Latency decomposition, streaming, parallelism, and precomputation</x:v>
      </x:c>
      <x:c r="F58" s="338" t="str">
        <x:v>Short Response</x:v>
      </x:c>
      <x:c r="G58" s="338" t="str">
        <x:v>Explain how you would decompose end-to-end latency in a RAG application.</x:v>
      </x:c>
      <x:c r="H58" s="338" t="str">
        <x:v>List the major stages and the measurement needed at each stage.</x:v>
      </x:c>
      <x:c r="I58" s="344" t="str"/>
      <x:c r="J58" s="360" t="str"/>
      <x:c r="K58" s="361" t="str">
        <x:f>IF(F58="Multiple Choice",IF(I58="","",IF(UPPER(TRIM(I58))=VLOOKUP(A58,'Answer Key &amp; Scoring'!$A$6:$J$65,4,FALSE),N58,0)),"")</x:f>
      </x:c>
      <x:c r="L58" s="360" t="str"/>
      <x:c r="M58" s="361" t="str">
        <x:f>IF(F58="Multiple Choice",K58,IF(L58="","",MIN(L58,N58)))</x:f>
      </x:c>
      <x:c r="N58" s="361" t="n">
        <x:v>2</x:v>
      </x:c>
      <x:c r="O58" s="361" t="n">
        <x:v>1.5</x:v>
      </x:c>
      <x:c r="P58" s="361" t="str">
        <x:f>IF(F58="Multiple Choice",IF(I58="","Not scored",IF(M58&gt;=O58,"Pass","Gap")),IF(L58="","Not scored",IF(M58&gt;=O58,"Pass","Gap")))</x:f>
        <x:v>Not scored</x:v>
      </x:c>
      <x:c r="Q58" s="338" t="str">
        <x:v>Causal/Diagnostic</x:v>
      </x:c>
      <x:c r="R58" s="338" t="str">
        <x:v>Instrument a RAG request and build a latency waterfall.</x:v>
      </x:c>
      <x:c r="S58" s="350" t="n">
        <x:f>IF(P58="Gap",D58,999)</x:f>
        <x:v>999</x:v>
      </x:c>
    </x:row>
    <x:row r="59" ht="72" customHeight="1">
      <x:c r="A59" s="354" t="str">
        <x:v>Q054</x:v>
      </x:c>
      <x:c r="B59" s="355" t="n">
        <x:v>8</x:v>
      </x:c>
      <x:c r="C59" s="355" t="str">
        <x:v>Layer 8 — Cost, performance, and operations</x:v>
      </x:c>
      <x:c r="D59" s="355" t="n">
        <x:v>98</x:v>
      </x:c>
      <x:c r="E59" s="338" t="str">
        <x:v>Cost-effective model selection and tiered model use</x:v>
      </x:c>
      <x:c r="F59" s="338" t="str">
        <x:v>Scenario / Practical</x:v>
      </x:c>
      <x:c r="G59" s="338" t="str">
        <x:v>A GenAI application meets quality targets but is too expensive and slow. Propose a measured optimization plan that protects quality.</x:v>
      </x:c>
      <x:c r="H59" s="338" t="str">
        <x:v>Prioritize baselines, experiments, and trade-offs rather than listing random techniques.</x:v>
      </x:c>
      <x:c r="I59" s="344" t="str"/>
      <x:c r="J59" s="360" t="str"/>
      <x:c r="K59" s="361" t="str">
        <x:f>IF(F59="Multiple Choice",IF(I59="","",IF(UPPER(TRIM(I59))=VLOOKUP(A59,'Answer Key &amp; Scoring'!$A$6:$J$65,4,FALSE),N59,0)),"")</x:f>
      </x:c>
      <x:c r="L59" s="360" t="str"/>
      <x:c r="M59" s="361" t="str">
        <x:f>IF(F59="Multiple Choice",K59,IF(L59="","",MIN(L59,N59)))</x:f>
      </x:c>
      <x:c r="N59" s="361" t="n">
        <x:v>4</x:v>
      </x:c>
      <x:c r="O59" s="361" t="n">
        <x:v>3</x:v>
      </x:c>
      <x:c r="P59" s="361" t="str">
        <x:f>IF(F59="Multiple Choice",IF(I59="","Not scored",IF(M59&gt;=O59,"Pass","Gap")),IF(L59="","Not scored",IF(M59&gt;=O59,"Pass","Gap")))</x:f>
        <x:v>Not scored</x:v>
      </x:c>
      <x:c r="Q59" s="338" t="str">
        <x:v>Strategic/Causal</x:v>
      </x:c>
      <x:c r="R59" s="338" t="str">
        <x:v>Run a controlled optimization exercise with a fixed quality threshold.</x:v>
      </x:c>
      <x:c r="S59" s="350" t="n">
        <x:f>IF(P59="Gap",D59,999)</x:f>
        <x:v>999</x:v>
      </x:c>
    </x:row>
    <x:row r="60" ht="72" customHeight="1">
      <x:c r="A60" s="354" t="str">
        <x:v>Q055</x:v>
      </x:c>
      <x:c r="B60" s="355" t="n">
        <x:v>9</x:v>
      </x:c>
      <x:c r="C60" s="355" t="str">
        <x:v>Layer 9 — Monitoring, evaluation, and troubleshooting</x:v>
      </x:c>
      <x:c r="D60" s="355" t="n">
        <x:v>117</x:v>
      </x:c>
      <x:c r="E60" s="338" t="str">
        <x:v>RAG evaluation</x:v>
      </x:c>
      <x:c r="F60" s="338" t="str">
        <x:v>Multiple Choice</x:v>
      </x:c>
      <x:c r="G60" s="338" t="str">
        <x:v>A RAG answer is fluent but based on irrelevant documents. What should be evaluated separately first?</x:v>
      </x:c>
      <x:c r="H60" s="338" t="str">
        <x:v>A. Retrieval relevance/context quality and generation quality
B. Only grammar
C. Only infrastructure CPU
D. Only model temperature</x:v>
      </x:c>
      <x:c r="I60" s="344" t="str"/>
      <x:c r="J60" s="360" t="str"/>
      <x:c r="K60" s="361" t="str">
        <x:f>IF(F60="Multiple Choice",IF(I60="","",IF(UPPER(TRIM(I60))=VLOOKUP(A60,'Answer Key &amp; Scoring'!$A$6:$J$65,4,FALSE),N60,0)),"")</x:f>
      </x:c>
      <x:c r="L60" s="360" t="str"/>
      <x:c r="M60" s="361" t="str">
        <x:f>IF(F60="Multiple Choice",K60,IF(L60="","",MIN(L60,N60)))</x:f>
      </x:c>
      <x:c r="N60" s="361" t="n">
        <x:v>1</x:v>
      </x:c>
      <x:c r="O60" s="361" t="n">
        <x:v>1</x:v>
      </x:c>
      <x:c r="P60" s="361" t="str">
        <x:f>IF(F60="Multiple Choice",IF(I60="","Not scored",IF(M60&gt;=O60,"Pass","Gap")),IF(L60="","Not scored",IF(M60&gt;=O60,"Pass","Gap")))</x:f>
        <x:v>Not scored</x:v>
      </x:c>
      <x:c r="Q60" s="338" t="str">
        <x:v>Causal/Diagnostic</x:v>
      </x:c>
      <x:c r="R60" s="338" t="str">
        <x:v>Build separate retrieval and answer-quality evaluations for the same golden queries.</x:v>
      </x:c>
      <x:c r="S60" s="350" t="n">
        <x:f>IF(P60="Gap",D60,999)</x:f>
        <x:v>999</x:v>
      </x:c>
    </x:row>
    <x:row r="61" ht="72" customHeight="1">
      <x:c r="A61" s="354" t="str">
        <x:v>Q056</x:v>
      </x:c>
      <x:c r="B61" s="355" t="n">
        <x:v>9</x:v>
      </x:c>
      <x:c r="C61" s="355" t="str">
        <x:v>Layer 9 — Monitoring, evaluation, and troubleshooting</x:v>
      </x:c>
      <x:c r="D61" s="355" t="n">
        <x:v>116</x:v>
      </x:c>
      <x:c r="E61" s="338" t="str">
        <x:v>LLM-as-a-judge evaluation</x:v>
      </x:c>
      <x:c r="F61" s="338" t="str">
        <x:v>Multiple Choice</x:v>
      </x:c>
      <x:c r="G61" s="338" t="str">
        <x:v>How should an LLM-as-a-judge evaluator be made more trustworthy?</x:v>
      </x:c>
      <x:c r="H61" s="338" t="str">
        <x:v>A. Treat every score as objective truth
B. Use no rubric
C. Calibrate it against human-labeled examples, use clear criteria, and monitor bias or disagreement
D. Hide the evaluated output</x:v>
      </x:c>
      <x:c r="I61" s="344" t="str"/>
      <x:c r="J61" s="360" t="str"/>
      <x:c r="K61" s="361" t="str">
        <x:f>IF(F61="Multiple Choice",IF(I61="","",IF(UPPER(TRIM(I61))=VLOOKUP(A61,'Answer Key &amp; Scoring'!$A$6:$J$65,4,FALSE),N61,0)),"")</x:f>
      </x:c>
      <x:c r="L61" s="360" t="str"/>
      <x:c r="M61" s="361" t="str">
        <x:f>IF(F61="Multiple Choice",K61,IF(L61="","",MIN(L61,N61)))</x:f>
      </x:c>
      <x:c r="N61" s="361" t="n">
        <x:v>1</x:v>
      </x:c>
      <x:c r="O61" s="361" t="n">
        <x:v>1</x:v>
      </x:c>
      <x:c r="P61" s="361" t="str">
        <x:f>IF(F61="Multiple Choice",IF(I61="","Not scored",IF(M61&gt;=O61,"Pass","Gap")),IF(L61="","Not scored",IF(M61&gt;=O61,"Pass","Gap")))</x:f>
        <x:v>Not scored</x:v>
      </x:c>
      <x:c r="Q61" s="338" t="str">
        <x:v>Conditional/Normative</x:v>
      </x:c>
      <x:c r="R61" s="338" t="str">
        <x:v>Compare judge and human ratings and analyze disagreement.</x:v>
      </x:c>
      <x:c r="S61" s="350" t="n">
        <x:f>IF(P61="Gap",D61,999)</x:f>
        <x:v>999</x:v>
      </x:c>
    </x:row>
    <x:row r="62" ht="72" customHeight="1">
      <x:c r="A62" s="354" t="str">
        <x:v>Q057</x:v>
      </x:c>
      <x:c r="B62" s="355" t="n">
        <x:v>9</x:v>
      </x:c>
      <x:c r="C62" s="355" t="str">
        <x:v>Layer 9 — Monitoring, evaluation, and troubleshooting</x:v>
      </x:c>
      <x:c r="D62" s="355" t="n">
        <x:v>119</x:v>
      </x:c>
      <x:c r="E62" s="338" t="str">
        <x:v>A/B testing, canary testing, and multi-model comparison</x:v>
      </x:c>
      <x:c r="F62" s="338" t="str">
        <x:v>Multiple Choice</x:v>
      </x:c>
      <x:c r="G62" s="338" t="str">
        <x:v>What is a canary deployment for a changed model or prompt?</x:v>
      </x:c>
      <x:c r="H62" s="338" t="str">
        <x:v>A. Send all traffic immediately
B. Send a small controlled portion of traffic, compare outcomes, and expand or roll back based on evidence
C. Disable monitoring
D. Delete the previous version</x:v>
      </x:c>
      <x:c r="I62" s="344" t="str"/>
      <x:c r="J62" s="360" t="str"/>
      <x:c r="K62" s="361" t="str">
        <x:f>IF(F62="Multiple Choice",IF(I62="","",IF(UPPER(TRIM(I62))=VLOOKUP(A62,'Answer Key &amp; Scoring'!$A$6:$J$65,4,FALSE),N62,0)),"")</x:f>
      </x:c>
      <x:c r="L62" s="360" t="str"/>
      <x:c r="M62" s="361" t="str">
        <x:f>IF(F62="Multiple Choice",K62,IF(L62="","",MIN(L62,N62)))</x:f>
      </x:c>
      <x:c r="N62" s="361" t="n">
        <x:v>1</x:v>
      </x:c>
      <x:c r="O62" s="361" t="n">
        <x:v>1</x:v>
      </x:c>
      <x:c r="P62" s="361" t="str">
        <x:f>IF(F62="Multiple Choice",IF(I62="","Not scored",IF(M62&gt;=O62,"Pass","Gap")),IF(L62="","Not scored",IF(M62&gt;=O62,"Pass","Gap")))</x:f>
        <x:v>Not scored</x:v>
      </x:c>
      <x:c r="Q62" s="338" t="str">
        <x:v>Procedural/Strategic</x:v>
      </x:c>
      <x:c r="R62" s="338" t="str">
        <x:v>Design a canary with quality, safety, latency, and rollback thresholds.</x:v>
      </x:c>
      <x:c r="S62" s="350" t="n">
        <x:f>IF(P62="Gap",D62,999)</x:f>
        <x:v>999</x:v>
      </x:c>
    </x:row>
    <x:row r="63" ht="72" customHeight="1">
      <x:c r="A63" s="354" t="str">
        <x:v>Q058</x:v>
      </x:c>
      <x:c r="B63" s="355" t="n">
        <x:v>9</x:v>
      </x:c>
      <x:c r="C63" s="355" t="str">
        <x:v>Layer 9 — Monitoring, evaluation, and troubleshooting</x:v>
      </x:c>
      <x:c r="D63" s="355" t="n">
        <x:v>107</x:v>
      </x:c>
      <x:c r="E63" s="338" t="str">
        <x:v>GenAI operational metrics, logs, traces, and dashboards</x:v>
      </x:c>
      <x:c r="F63" s="338" t="str">
        <x:v>Multiple Choice</x:v>
      </x:c>
      <x:c r="G63" s="338" t="str">
        <x:v>Which observability design is most useful for diagnosing a GenAI request?</x:v>
      </x:c>
      <x:c r="H63" s="338" t="str">
        <x:v>A. Record only the HTTP status
B. Record only total cost once per month
C. Store no correlation identifiers
D. Trace the request across retrieval, prompt/model version, model invocation, tool calls, latency, tokens, policy outcomes, and business result</x:v>
      </x:c>
      <x:c r="I63" s="344" t="str"/>
      <x:c r="J63" s="360" t="str"/>
      <x:c r="K63" s="361" t="str">
        <x:f>IF(F63="Multiple Choice",IF(I63="","",IF(UPPER(TRIM(I63))=VLOOKUP(A63,'Answer Key &amp; Scoring'!$A$6:$J$65,4,FALSE),N63,0)),"")</x:f>
      </x:c>
      <x:c r="L63" s="360" t="str"/>
      <x:c r="M63" s="361" t="str">
        <x:f>IF(F63="Multiple Choice",K63,IF(L63="","",MIN(L63,N63)))</x:f>
      </x:c>
      <x:c r="N63" s="361" t="n">
        <x:v>1</x:v>
      </x:c>
      <x:c r="O63" s="361" t="n">
        <x:v>1</x:v>
      </x:c>
      <x:c r="P63" s="361" t="str">
        <x:f>IF(F63="Multiple Choice",IF(I63="","Not scored",IF(M63&gt;=O63,"Pass","Gap")),IF(L63="","Not scored",IF(M63&gt;=O63,"Pass","Gap")))</x:f>
        <x:v>Not scored</x:v>
      </x:c>
      <x:c r="Q63" s="338" t="str">
        <x:v>Procedural/Embedded</x:v>
      </x:c>
      <x:c r="R63" s="338" t="str">
        <x:v>Instrument a request with correlation IDs, metrics, logs, and traces across all stages.</x:v>
      </x:c>
      <x:c r="S63" s="350" t="n">
        <x:f>IF(P63="Gap",D63,999)</x:f>
        <x:v>999</x:v>
      </x:c>
    </x:row>
    <x:row r="64" ht="72" customHeight="1">
      <x:c r="A64" s="354" t="str">
        <x:v>Q059</x:v>
      </x:c>
      <x:c r="B64" s="355" t="n">
        <x:v>9</x:v>
      </x:c>
      <x:c r="C64" s="355" t="str">
        <x:v>Layer 9 — Monitoring, evaluation, and troubleshooting</x:v>
      </x:c>
      <x:c r="D64" s="355" t="n">
        <x:v>120</x:v>
      </x:c>
      <x:c r="E64" s="338" t="str">
        <x:v>Continuous evaluation and regression testing</x:v>
      </x:c>
      <x:c r="F64" s="338" t="str">
        <x:v>Short Response</x:v>
      </x:c>
      <x:c r="G64" s="338" t="str">
        <x:v>Explain continuous evaluation and why it must be connected to regression testing and deployment gates.</x:v>
      </x:c>
      <x:c r="H64" s="338" t="str">
        <x:v>Address changing prompts, models, data, retrieval, and production behavior.</x:v>
      </x:c>
      <x:c r="I64" s="344" t="str"/>
      <x:c r="J64" s="360" t="str"/>
      <x:c r="K64" s="361" t="str">
        <x:f>IF(F64="Multiple Choice",IF(I64="","",IF(UPPER(TRIM(I64))=VLOOKUP(A64,'Answer Key &amp; Scoring'!$A$6:$J$65,4,FALSE),N64,0)),"")</x:f>
      </x:c>
      <x:c r="L64" s="360" t="str"/>
      <x:c r="M64" s="361" t="str">
        <x:f>IF(F64="Multiple Choice",K64,IF(L64="","",MIN(L64,N64)))</x:f>
      </x:c>
      <x:c r="N64" s="361" t="n">
        <x:v>2</x:v>
      </x:c>
      <x:c r="O64" s="361" t="n">
        <x:v>1.5</x:v>
      </x:c>
      <x:c r="P64" s="361" t="str">
        <x:f>IF(F64="Multiple Choice",IF(I64="","Not scored",IF(M64&gt;=O64,"Pass","Gap")),IF(L64="","Not scored",IF(M64&gt;=O64,"Pass","Gap")))</x:f>
        <x:v>Not scored</x:v>
      </x:c>
      <x:c r="Q64" s="338" t="str">
        <x:v>Conceptual/Strategic</x:v>
      </x:c>
      <x:c r="R64" s="338" t="str">
        <x:v>Implement a continuous evaluation workflow with a blocking quality gate.</x:v>
      </x:c>
      <x:c r="S64" s="350" t="n">
        <x:f>IF(P64="Gap",D64,999)</x:f>
        <x:v>999</x:v>
      </x:c>
    </x:row>
    <x:row r="65" ht="72" customHeight="1">
      <x:c r="A65" s="356" t="str">
        <x:v>Q060</x:v>
      </x:c>
      <x:c r="B65" s="357" t="n">
        <x:v>9</x:v>
      </x:c>
      <x:c r="C65" s="357" t="str">
        <x:v>Layer 9 — Monitoring, evaluation, and troubleshooting</x:v>
      </x:c>
      <x:c r="D65" s="357" t="n">
        <x:v>128</x:v>
      </x:c>
      <x:c r="E65" s="341" t="str">
        <x:v>End-to-end incident analysis and root-cause diagnosis</x:v>
      </x:c>
      <x:c r="F65" s="341" t="str">
        <x:v>Scenario / Practical</x:v>
      </x:c>
      <x:c r="G65" s="341" t="str">
        <x:v>After a deployment, answer quality falls, token use doubles, and latency rises. Describe an evidence-based incident response and root-cause process.</x:v>
      </x:c>
      <x:c r="H65" s="341" t="str">
        <x:v>Include containment, comparison, tracing, stage isolation, rollback, and prevention.</x:v>
      </x:c>
      <x:c r="I65" s="345" t="str"/>
      <x:c r="J65" s="362" t="str"/>
      <x:c r="K65" s="363" t="str">
        <x:f>IF(F65="Multiple Choice",IF(I65="","",IF(UPPER(TRIM(I65))=VLOOKUP(A65,'Answer Key &amp; Scoring'!$A$6:$J$65,4,FALSE),N65,0)),"")</x:f>
      </x:c>
      <x:c r="L65" s="362" t="str"/>
      <x:c r="M65" s="363" t="str">
        <x:f>IF(F65="Multiple Choice",K65,IF(L65="","",MIN(L65,N65)))</x:f>
      </x:c>
      <x:c r="N65" s="363" t="n">
        <x:v>4</x:v>
      </x:c>
      <x:c r="O65" s="363" t="n">
        <x:v>3</x:v>
      </x:c>
      <x:c r="P65" s="363" t="str">
        <x:f>IF(F65="Multiple Choice",IF(I65="","Not scored",IF(M65&gt;=O65,"Pass","Gap")),IF(L65="","Not scored",IF(M65&gt;=O65,"Pass","Gap")))</x:f>
        <x:v>Not scored</x:v>
      </x:c>
      <x:c r="Q65" s="341" t="str">
        <x:v>Causal/Diagnostic</x:v>
      </x:c>
      <x:c r="R65" s="341" t="str">
        <x:v>Complete a full incident postmortem using traces, version diffs, and a regression test.</x:v>
      </x:c>
      <x:c r="S65" s="351" t="n">
        <x:f>IF(P65="Gap",D65,999)</x:f>
        <x:v>999</x:v>
      </x:c>
    </x:row>
  </x:sheetData>
  <x:mergeCells>
    <x:mergeCell ref="A1:S1"/>
    <x:mergeCell ref="A2:S3"/>
  </x:mergeCells>
  <x:conditionalFormatting sqref="P6:P65">
    <x:cfRule type="expression" dxfId="9" priority="1">
      <x:formula>P6="Pass"</x:formula>
    </x:cfRule>
    <x:cfRule type="expression" dxfId="10" priority="2">
      <x:formula>P6="Gap"</x:formula>
    </x:cfRule>
  </x:conditionalFormatting>
  <x:conditionalFormatting sqref="J6:J65">
    <x:cfRule type="dataBar" priority="3">
      <x:dataBar>
        <x:cfvo type="min"/>
        <x:cfvo type="max"/>
        <x:color rgb="5B9BD5"/>
      </x:dataBar>
      <x:extLst>
        <x:ext xmlns:x14="http://schemas.microsoft.com/office/spreadsheetml/2009/9/main" uri="{B025F937-C7B1-47D3-B67F-A62EFF666E3E}">
          <x14:id>{354F8AE9-C648-4C5D-DFDC-84DD670AB9CE}</x14:id>
        </x:ext>
      </x:extLst>
    </x:cfRule>
  </x:conditionalFormatting>
  <x:dataValidations count="42">
    <x:dataValidation type="list" sqref="I6">
      <x:formula1>"A,B,C,D"</x:formula1>
    </x:dataValidation>
    <x:dataValidation type="list" sqref="I7">
      <x:formula1>"A,B,C,D"</x:formula1>
    </x:dataValidation>
    <x:dataValidation type="list" sqref="I8">
      <x:formula1>"A,B,C,D"</x:formula1>
    </x:dataValidation>
    <x:dataValidation type="list" sqref="I9">
      <x:formula1>"A,B,C,D"</x:formula1>
    </x:dataValidation>
    <x:dataValidation type="list" sqref="I12">
      <x:formula1>"A,B,C,D"</x:formula1>
    </x:dataValidation>
    <x:dataValidation type="list" sqref="I13">
      <x:formula1>"A,B,C,D"</x:formula1>
    </x:dataValidation>
    <x:dataValidation type="list" sqref="I14">
      <x:formula1>"A,B,C,D"</x:formula1>
    </x:dataValidation>
    <x:dataValidation type="list" sqref="I15">
      <x:formula1>"A,B,C,D"</x:formula1>
    </x:dataValidation>
    <x:dataValidation type="list" sqref="I18">
      <x:formula1>"A,B,C,D"</x:formula1>
    </x:dataValidation>
    <x:dataValidation type="list" sqref="I19">
      <x:formula1>"A,B,C,D"</x:formula1>
    </x:dataValidation>
    <x:dataValidation type="list" sqref="I20">
      <x:formula1>"A,B,C,D"</x:formula1>
    </x:dataValidation>
    <x:dataValidation type="list" sqref="I21">
      <x:formula1>"A,B,C,D"</x:formula1>
    </x:dataValidation>
    <x:dataValidation type="list" sqref="I24">
      <x:formula1>"A,B,C,D"</x:formula1>
    </x:dataValidation>
    <x:dataValidation type="list" sqref="I25">
      <x:formula1>"A,B,C,D"</x:formula1>
    </x:dataValidation>
    <x:dataValidation type="list" sqref="I26">
      <x:formula1>"A,B,C,D"</x:formula1>
    </x:dataValidation>
    <x:dataValidation type="list" sqref="I27">
      <x:formula1>"A,B,C,D"</x:formula1>
    </x:dataValidation>
    <x:dataValidation type="list" sqref="I30">
      <x:formula1>"A,B,C,D"</x:formula1>
    </x:dataValidation>
    <x:dataValidation type="list" sqref="I31">
      <x:formula1>"A,B,C,D"</x:formula1>
    </x:dataValidation>
    <x:dataValidation type="list" sqref="I32">
      <x:formula1>"A,B,C,D"</x:formula1>
    </x:dataValidation>
    <x:dataValidation type="list" sqref="I33">
      <x:formula1>"A,B,C,D"</x:formula1>
    </x:dataValidation>
    <x:dataValidation type="list" sqref="I36">
      <x:formula1>"A,B,C,D"</x:formula1>
    </x:dataValidation>
    <x:dataValidation type="list" sqref="I37">
      <x:formula1>"A,B,C,D"</x:formula1>
    </x:dataValidation>
    <x:dataValidation type="list" sqref="I38">
      <x:formula1>"A,B,C,D"</x:formula1>
    </x:dataValidation>
    <x:dataValidation type="list" sqref="I39">
      <x:formula1>"A,B,C,D"</x:formula1>
    </x:dataValidation>
    <x:dataValidation type="list" sqref="I42">
      <x:formula1>"A,B,C,D"</x:formula1>
    </x:dataValidation>
    <x:dataValidation type="list" sqref="I43">
      <x:formula1>"A,B,C,D"</x:formula1>
    </x:dataValidation>
    <x:dataValidation type="list" sqref="I44">
      <x:formula1>"A,B,C,D"</x:formula1>
    </x:dataValidation>
    <x:dataValidation type="list" sqref="I45">
      <x:formula1>"A,B,C,D"</x:formula1>
    </x:dataValidation>
    <x:dataValidation type="list" sqref="I48">
      <x:formula1>"A,B,C,D"</x:formula1>
    </x:dataValidation>
    <x:dataValidation type="list" sqref="I49">
      <x:formula1>"A,B,C,D"</x:formula1>
    </x:dataValidation>
    <x:dataValidation type="list" sqref="I50">
      <x:formula1>"A,B,C,D"</x:formula1>
    </x:dataValidation>
    <x:dataValidation type="list" sqref="I51">
      <x:formula1>"A,B,C,D"</x:formula1>
    </x:dataValidation>
    <x:dataValidation type="list" sqref="I54">
      <x:formula1>"A,B,C,D"</x:formula1>
    </x:dataValidation>
    <x:dataValidation type="list" sqref="I55">
      <x:formula1>"A,B,C,D"</x:formula1>
    </x:dataValidation>
    <x:dataValidation type="list" sqref="I56">
      <x:formula1>"A,B,C,D"</x:formula1>
    </x:dataValidation>
    <x:dataValidation type="list" sqref="I57">
      <x:formula1>"A,B,C,D"</x:formula1>
    </x:dataValidation>
    <x:dataValidation type="list" sqref="I60">
      <x:formula1>"A,B,C,D"</x:formula1>
    </x:dataValidation>
    <x:dataValidation type="list" sqref="I61">
      <x:formula1>"A,B,C,D"</x:formula1>
    </x:dataValidation>
    <x:dataValidation type="list" sqref="I62">
      <x:formula1>"A,B,C,D"</x:formula1>
    </x:dataValidation>
    <x:dataValidation type="list" sqref="I63">
      <x:formula1>"A,B,C,D"</x:formula1>
    </x:dataValidation>
    <x:dataValidation type="list" sqref="J6:J65">
      <x:formula1>"1,2,3,4,5"</x:formula1>
    </x:dataValidation>
    <x:dataValidation type="list" sqref="L6:L65">
      <x:formula1>"0,0.5,1,1.5,2,2.5,3,3.5,4"</x:formula1>
    </x:dataValidation>
  </x:dataValidations>
  <x:pageMargins left="0.7" right="0.7" top="0.75" bottom="0.75" header="0.3" footer="0.3"/>
  <x:tableParts count="1">
    <x:tablePart xmlns:r="http://schemas.openxmlformats.org/officeDocument/2006/relationships" r:id="Ra1160ee90cb54ead"/>
  </x:tableParts>
  <x:extLst>
    <x:ext xmlns:x14="http://schemas.microsoft.com/office/spreadsheetml/2009/9/main" xmlns:xm="http://schemas.microsoft.com/office/excel/2006/main" uri="{78C0D931-6437-407d-A8EE-F0AAD7539E65}">
      <x14:conditionalFormattings>
        <x14:conditionalFormatting>
          <x14:cfRule type="dataBar" priority="3" id="{354F8AE9-C648-4C5D-DFDC-84DD670AB9CE}">
            <x14:dataBar gradient="1">
              <x14:cfvo type="min"/>
              <x14:cfvo type="max"/>
              <x14:fillColor rgb="5B9BD5"/>
            </x14:dataBar>
          </x14:cfRule>
          <xm:sqref>J6:J65</xm:sqref>
        </x14:conditionalFormatting>
      </x14:conditionalFormattings>
    </x:ext>
  </x:extLst>
</x:worksheet>
</file>

<file path=xl/worksheets/sheet8.xml><?xml version="1.0" encoding="utf-8"?>
<x:worksheet xmlns:x="http://schemas.openxmlformats.org/spreadsheetml/2006/main">
  <x:sheetFormatPr defaultRowHeight="15"/>
  <x:cols>
    <x:col min="1" max="1" width="11" hidden="0" customWidth="1"/>
    <x:col min="2" max="2" width="7" hidden="0" customWidth="1"/>
    <x:col min="3" max="3" width="18" hidden="0" customWidth="1"/>
    <x:col min="4" max="4" width="12" hidden="0" customWidth="1"/>
    <x:col min="5" max="5" width="70" hidden="0" customWidth="1"/>
    <x:col min="6" max="6" width="55" hidden="0" customWidth="1"/>
    <x:col min="7" max="7" width="10" hidden="0" customWidth="1"/>
    <x:col min="8" max="8" width="12" hidden="0" customWidth="1"/>
    <x:col min="9" max="9" width="24" hidden="0" customWidth="1"/>
    <x:col min="10" max="10" width="50" hidden="0" customWidth="1"/>
  </x:cols>
  <x:sheetData>
    <x:row r="1" ht="30" customHeight="1">
      <x:c r="A1" s="324" t="str">
        <x:v>AIP-C01 Diagnostic Answer Key and Scoring Rubrics</x:v>
      </x:c>
      <x:c r="B1" s="324"/>
      <x:c r="C1" s="324"/>
      <x:c r="D1" s="324"/>
      <x:c r="E1" s="324"/>
      <x:c r="F1" s="324"/>
      <x:c r="G1" s="324"/>
      <x:c r="H1" s="324"/>
      <x:c r="I1" s="324"/>
      <x:c r="J1" s="324"/>
    </x:row>
    <x:row r="2" ht="38" customHeight="1">
      <x:c r="A2" s="328" t="str">
        <x:v>Multiple-choice questions are automatically scored. For short responses, award 2 = complete, 1–1.5 = substantially correct but incomplete, 0.5 = limited, 0 = incorrect. For practical/scenario tasks, award 4 = comprehensive and well-structured, 3 = adequate, 2 = partial, 1 = minimal, 0 = incorrect. Do not award points merely for naming services without explaining fit and controls.</x:v>
      </x:c>
      <x:c r="B2" s="328"/>
      <x:c r="C2" s="328"/>
      <x:c r="D2" s="328"/>
      <x:c r="E2" s="328"/>
      <x:c r="F2" s="328"/>
      <x:c r="G2" s="328"/>
      <x:c r="H2" s="328"/>
      <x:c r="I2" s="328"/>
      <x:c r="J2" s="328"/>
    </x:row>
    <x:row r="3" ht="38" customHeight="1">
      <x:c r="A3" s="328"/>
      <x:c r="B3" s="328"/>
      <x:c r="C3" s="328"/>
      <x:c r="D3" s="328"/>
      <x:c r="E3" s="328"/>
      <x:c r="F3" s="328"/>
      <x:c r="G3" s="328"/>
      <x:c r="H3" s="328"/>
      <x:c r="I3" s="328"/>
      <x:c r="J3" s="328"/>
    </x:row>
    <x:row r="5" ht="42" customHeight="1">
      <x:c r="A5" s="333" t="str">
        <x:v>Question ID</x:v>
      </x:c>
      <x:c r="B5" s="333" t="str">
        <x:v>Phase</x:v>
      </x:c>
      <x:c r="C5" s="333" t="str">
        <x:v>Question Type</x:v>
      </x:c>
      <x:c r="D5" s="333" t="str">
        <x:v>Correct Option</x:v>
      </x:c>
      <x:c r="E5" s="333" t="str">
        <x:v>Expected Answer / Rationale</x:v>
      </x:c>
      <x:c r="F5" s="333" t="str">
        <x:v>Scoring Rubric</x:v>
      </x:c>
      <x:c r="G5" s="333" t="str">
        <x:v>Max Score</x:v>
      </x:c>
      <x:c r="H5" s="333" t="str">
        <x:v>Pass Threshold</x:v>
      </x:c>
      <x:c r="I5" s="333" t="str">
        <x:v>Gap Type</x:v>
      </x:c>
      <x:c r="J5" s="333" t="str">
        <x:v>Recommended Remediation</x:v>
      </x:c>
    </x:row>
    <x:row r="6" ht="62" customHeight="1">
      <x:c r="A6" s="352" t="str">
        <x:v>Q001</x:v>
      </x:c>
      <x:c r="B6" s="353" t="n">
        <x:v>0</x:v>
      </x:c>
      <x:c r="C6" s="353" t="str">
        <x:v>Multiple Choice</x:v>
      </x:c>
      <x:c r="D6" s="353" t="str">
        <x:v>B</x:v>
      </x:c>
      <x:c r="E6" s="335" t="str">
        <x:v>Inference uses a trained model to produce outputs; training or fine-tuning changes model parameters.</x:v>
      </x:c>
      <x:c r="F6" s="335" t="str">
        <x:v>1 point for the correct option; 0 otherwise.</x:v>
      </x:c>
      <x:c r="G6" s="353" t="n">
        <x:v>1</x:v>
      </x:c>
      <x:c r="H6" s="353" t="n">
        <x:v>1</x:v>
      </x:c>
      <x:c r="I6" s="335" t="str">
        <x:v>Conceptual</x:v>
      </x:c>
      <x:c r="J6" s="336" t="str">
        <x:v>Review FM lifecycle: pre-training, customization, and inference; explain the distinction without notes.</x:v>
      </x:c>
    </x:row>
    <x:row r="7" ht="62" customHeight="1">
      <x:c r="A7" s="354" t="str">
        <x:v>Q002</x:v>
      </x:c>
      <x:c r="B7" s="355" t="n">
        <x:v>0</x:v>
      </x:c>
      <x:c r="C7" s="355" t="str">
        <x:v>Multiple Choice</x:v>
      </x:c>
      <x:c r="D7" s="355" t="str">
        <x:v>C</x:v>
      </x:c>
      <x:c r="E7" s="338" t="str">
        <x:v>Context overflow is addressed by improving selection and reducing tokens, not by changing randomness or capacity.</x:v>
      </x:c>
      <x:c r="F7" s="338" t="str">
        <x:v>1 point for the correct option; 0 otherwise.</x:v>
      </x:c>
      <x:c r="G7" s="355" t="n">
        <x:v>1</x:v>
      </x:c>
      <x:c r="H7" s="355" t="n">
        <x:v>1</x:v>
      </x:c>
      <x:c r="I7" s="338" t="str">
        <x:v>Causal/Diagnostic</x:v>
      </x:c>
      <x:c r="J7" s="339" t="str">
        <x:v>Work through token-budget examples and predict how context selection affects quality, cost, and truncation.</x:v>
      </x:c>
    </x:row>
    <x:row r="8" ht="62" customHeight="1">
      <x:c r="A8" s="354" t="str">
        <x:v>Q003</x:v>
      </x:c>
      <x:c r="B8" s="355" t="n">
        <x:v>0</x:v>
      </x:c>
      <x:c r="C8" s="355" t="str">
        <x:v>Multiple Choice</x:v>
      </x:c>
      <x:c r="D8" s="355" t="str">
        <x:v>B</x:v>
      </x:c>
      <x:c r="E8" s="338" t="str">
        <x:v>Amazon Bedrock provides managed access to foundation models and related GenAI capabilities.</x:v>
      </x:c>
      <x:c r="F8" s="338" t="str">
        <x:v>1 point for the correct option; 0 otherwise.</x:v>
      </x:c>
      <x:c r="G8" s="355" t="n">
        <x:v>1</x:v>
      </x:c>
      <x:c r="H8" s="355" t="n">
        <x:v>1</x:v>
      </x:c>
      <x:c r="I8" s="338" t="str">
        <x:v>Declarative/Embedded</x:v>
      </x:c>
      <x:c r="J8" s="339" t="str">
        <x:v>Create an AWS GenAI service map and match each service to its primary role.</x:v>
      </x:c>
    </x:row>
    <x:row r="9" ht="62" customHeight="1">
      <x:c r="A9" s="354" t="str">
        <x:v>Q004</x:v>
      </x:c>
      <x:c r="B9" s="355" t="n">
        <x:v>0</x:v>
      </x:c>
      <x:c r="C9" s="355" t="str">
        <x:v>Multiple Choice</x:v>
      </x:c>
      <x:c r="D9" s="355" t="str">
        <x:v>C</x:v>
      </x:c>
      <x:c r="E9" s="338" t="str">
        <x:v>A queue-based asynchronous pattern decouples the request, controls load, and supports recovery.</x:v>
      </x:c>
      <x:c r="F9" s="338" t="str">
        <x:v>1 point for the correct option; 0 otherwise.</x:v>
      </x:c>
      <x:c r="G9" s="355" t="n">
        <x:v>1</x:v>
      </x:c>
      <x:c r="H9" s="355" t="n">
        <x:v>1</x:v>
      </x:c>
      <x:c r="I9" s="338" t="str">
        <x:v>Conditional</x:v>
      </x:c>
      <x:c r="J9" s="339" t="str">
        <x:v>Compare synchronous, asynchronous, streaming, and event-driven patterns using workload examples.</x:v>
      </x:c>
    </x:row>
    <x:row r="10" ht="62" customHeight="1">
      <x:c r="A10" s="354" t="str">
        <x:v>Q005</x:v>
      </x:c>
      <x:c r="B10" s="355" t="n">
        <x:v>0</x:v>
      </x:c>
      <x:c r="C10" s="355" t="str">
        <x:v>Short Response</x:v>
      </x:c>
      <x:c r="D10" s="355" t="str"/>
      <x:c r="E10" s="338" t="str">
        <x:v>Least privilege grants only required actions and resources. A trust boundary is where identity, data, or control crosses between components with different trust assumptions; controls such as authentication, authorization, validation, encryption, and logging apply there.</x:v>
      </x:c>
      <x:c r="F10" s="338" t="str">
        <x:v>2 = covers all essential ideas accurately; 1.5 = accurate with a minor omission; 1 = partial; 0.5 = minimal; 0 = incorrect.</x:v>
      </x:c>
      <x:c r="G10" s="355" t="n">
        <x:v>2</x:v>
      </x:c>
      <x:c r="H10" s="355" t="n">
        <x:v>1.5</x:v>
      </x:c>
      <x:c r="I10" s="338" t="str">
        <x:v>Conceptual/Normative</x:v>
      </x:c>
      <x:c r="J10" s="339" t="str">
        <x:v>Draw a trust-boundary diagram and assign IAM permissions to each component.</x:v>
      </x:c>
    </x:row>
    <x:row r="11" ht="62" customHeight="1">
      <x:c r="A11" s="354" t="str">
        <x:v>Q006</x:v>
      </x:c>
      <x:c r="B11" s="355" t="n">
        <x:v>0</x:v>
      </x:c>
      <x:c r="C11" s="355" t="str">
        <x:v>Scenario / Practical</x:v>
      </x:c>
      <x:c r="D11" s="355" t="str"/>
      <x:c r="E11" s="338" t="str">
        <x:v>A sound answer includes authenticated users, controlled API/application layer, protected documents, ingestion and vector retrieval, Bedrock model invocation, least privilege, private connectivity or restricted access, PII handling, grounding/source attribution, logging/tracing, and evaluation.</x:v>
      </x:c>
      <x:c r="F11" s="338" t="str">
        <x:v>4 = comprehensive, ordered, and risk-aware; 3 = adequate and mostly complete; 2 = partial; 1 = minimal; 0 = incorrect.</x:v>
      </x:c>
      <x:c r="G11" s="355" t="n">
        <x:v>4</x:v>
      </x:c>
      <x:c r="H11" s="355" t="n">
        <x:v>3</x:v>
      </x:c>
      <x:c r="I11" s="338" t="str">
        <x:v>Strategic</x:v>
      </x:c>
      <x:c r="J11" s="339" t="str">
        <x:v>Complete a requirements-to-architecture case and produce an architecture decision record.</x:v>
      </x:c>
    </x:row>
    <x:row r="12" ht="62" customHeight="1">
      <x:c r="A12" s="354" t="str">
        <x:v>Q007</x:v>
      </x:c>
      <x:c r="B12" s="355" t="n">
        <x:v>1</x:v>
      </x:c>
      <x:c r="C12" s="355" t="str">
        <x:v>Multiple Choice</x:v>
      </x:c>
      <x:c r="D12" s="355" t="str">
        <x:v>B</x:v>
      </x:c>
      <x:c r="E12" s="338" t="str">
        <x:v>Data validation and controlled handling of invalid records prevent bad content from contaminating the retrieval system.</x:v>
      </x:c>
      <x:c r="F12" s="338" t="str">
        <x:v>1 point for the correct option; 0 otherwise.</x:v>
      </x:c>
      <x:c r="G12" s="355" t="n">
        <x:v>1</x:v>
      </x:c>
      <x:c r="H12" s="355" t="n">
        <x:v>1</x:v>
      </x:c>
      <x:c r="I12" s="338" t="str">
        <x:v>Procedural</x:v>
      </x:c>
      <x:c r="J12" s="339" t="str">
        <x:v>Build a data-quality checklist and process a deliberately defective document set.</x:v>
      </x:c>
    </x:row>
    <x:row r="13" ht="62" customHeight="1">
      <x:c r="A13" s="354" t="str">
        <x:v>Q008</x:v>
      </x:c>
      <x:c r="B13" s="355" t="n">
        <x:v>1</x:v>
      </x:c>
      <x:c r="C13" s="355" t="str">
        <x:v>Multiple Choice</x:v>
      </x:c>
      <x:c r="D13" s="355" t="str">
        <x:v>C</x:v>
      </x:c>
      <x:c r="E13" s="338" t="str">
        <x:v>Embeddings are numeric vector representations used to compare semantic similarity.</x:v>
      </x:c>
      <x:c r="F13" s="338" t="str">
        <x:v>1 point for the correct option; 0 otherwise.</x:v>
      </x:c>
      <x:c r="G13" s="355" t="n">
        <x:v>1</x:v>
      </x:c>
      <x:c r="H13" s="355" t="n">
        <x:v>1</x:v>
      </x:c>
      <x:c r="I13" s="338" t="str">
        <x:v>Conceptual</x:v>
      </x:c>
      <x:c r="J13" s="339" t="str">
        <x:v>Inspect nearest-neighbor examples and explain why semantically similar content is close in vector space.</x:v>
      </x:c>
    </x:row>
    <x:row r="14" ht="62" customHeight="1">
      <x:c r="A14" s="354" t="str">
        <x:v>Q009</x:v>
      </x:c>
      <x:c r="B14" s="355" t="n">
        <x:v>1</x:v>
      </x:c>
      <x:c r="C14" s="355" t="str">
        <x:v>Multiple Choice</x:v>
      </x:c>
      <x:c r="D14" s="355" t="str">
        <x:v>A</x:v>
      </x:c>
      <x:c r="E14" s="338" t="str">
        <x:v>Oversized chunks can reduce precision and consume context-window and token budgets.</x:v>
      </x:c>
      <x:c r="F14" s="338" t="str">
        <x:v>1 point for the correct option; 0 otherwise.</x:v>
      </x:c>
      <x:c r="G14" s="355" t="n">
        <x:v>1</x:v>
      </x:c>
      <x:c r="H14" s="355" t="n">
        <x:v>1</x:v>
      </x:c>
      <x:c r="I14" s="338" t="str">
        <x:v>Causal/Diagnostic</x:v>
      </x:c>
      <x:c r="J14" s="339" t="str">
        <x:v>Compare retrieval results using small, medium, and large chunks on the same corpus.</x:v>
      </x:c>
    </x:row>
    <x:row r="15" ht="62" customHeight="1">
      <x:c r="A15" s="354" t="str">
        <x:v>Q010</x:v>
      </x:c>
      <x:c r="B15" s="355" t="n">
        <x:v>1</x:v>
      </x:c>
      <x:c r="C15" s="355" t="str">
        <x:v>Multiple Choice</x:v>
      </x:c>
      <x:c r="D15" s="355" t="str">
        <x:v>D</x:v>
      </x:c>
      <x:c r="E15" s="338" t="str">
        <x:v>Hybrid search combines lexical precision with semantic matching.</x:v>
      </x:c>
      <x:c r="F15" s="338" t="str">
        <x:v>1 point for the correct option; 0 otherwise.</x:v>
      </x:c>
      <x:c r="G15" s="355" t="n">
        <x:v>1</x:v>
      </x:c>
      <x:c r="H15" s="355" t="n">
        <x:v>1</x:v>
      </x:c>
      <x:c r="I15" s="338" t="str">
        <x:v>Conditional</x:v>
      </x:c>
      <x:c r="J15" s="339" t="str">
        <x:v>Run keyword, vector, and hybrid queries and compare relevance by query type.</x:v>
      </x:c>
    </x:row>
    <x:row r="16" ht="62" customHeight="1">
      <x:c r="A16" s="354" t="str">
        <x:v>Q011</x:v>
      </x:c>
      <x:c r="B16" s="355" t="n">
        <x:v>1</x:v>
      </x:c>
      <x:c r="C16" s="355" t="str">
        <x:v>Short Response</x:v>
      </x:c>
      <x:c r="D16" s="355" t="str"/>
      <x:c r="E16" s="338" t="str">
        <x:v>The query is processed and embedded or searched; relevant chunks are retrieved and optionally filtered/reranked; selected context and instructions are sent to the FM; the response is generated, validated, and ideally accompanied by citations or source evidence.</x:v>
      </x:c>
      <x:c r="F16" s="338" t="str">
        <x:v>2 = covers all essential ideas accurately; 1.5 = accurate with a minor omission; 1 = partial; 0.5 = minimal; 0 = incorrect.</x:v>
      </x:c>
      <x:c r="G16" s="355" t="n">
        <x:v>2</x:v>
      </x:c>
      <x:c r="H16" s="355" t="n">
        <x:v>1.5</x:v>
      </x:c>
      <x:c r="I16" s="338" t="str">
        <x:v>Conceptual</x:v>
      </x:c>
      <x:c r="J16" s="339" t="str">
        <x:v>Draw the ingestion and request-time RAG flows separately from memory.</x:v>
      </x:c>
    </x:row>
    <x:row r="17" ht="62" customHeight="1">
      <x:c r="A17" s="354" t="str">
        <x:v>Q012</x:v>
      </x:c>
      <x:c r="B17" s="355" t="n">
        <x:v>1</x:v>
      </x:c>
      <x:c r="C17" s="355" t="str">
        <x:v>Scenario / Practical</x:v>
      </x:c>
      <x:c r="D17" s="355" t="str"/>
      <x:c r="E17" s="338" t="str">
        <x:v>Check source change detection and ingestion, preprocessing/chunking, embedding generation and model consistency, index updates, metadata filters, query transformation, retrieval results and scores, reranking, context passed to the model, and traces/logs. Reproduce with a golden query and change one variable at a time.</x:v>
      </x:c>
      <x:c r="F17" s="338" t="str">
        <x:v>4 = comprehensive, ordered, and risk-aware; 3 = adequate and mostly complete; 2 = partial; 1 = minimal; 0 = incorrect.</x:v>
      </x:c>
      <x:c r="G17" s="355" t="n">
        <x:v>4</x:v>
      </x:c>
      <x:c r="H17" s="355" t="n">
        <x:v>3</x:v>
      </x:c>
      <x:c r="I17" s="338" t="str">
        <x:v>Causal/Diagnostic</x:v>
      </x:c>
      <x:c r="J17" s="339" t="str">
        <x:v>Use a broken-RAG lab and isolate ingestion, embedding, indexing, retrieval, and generation failures.</x:v>
      </x:c>
    </x:row>
    <x:row r="18" ht="62" customHeight="1">
      <x:c r="A18" s="354" t="str">
        <x:v>Q013</x:v>
      </x:c>
      <x:c r="B18" s="355" t="n">
        <x:v>2</x:v>
      </x:c>
      <x:c r="C18" s="355" t="str">
        <x:v>Multiple Choice</x:v>
      </x:c>
      <x:c r="D18" s="355" t="str">
        <x:v>B</x:v>
      </x:c>
      <x:c r="E18" s="338" t="str">
        <x:v>Structured-output constraints plus validation are more reliable than natural-language formatting requests alone.</x:v>
      </x:c>
      <x:c r="F18" s="338" t="str">
        <x:v>1 point for the correct option; 0 otherwise.</x:v>
      </x:c>
      <x:c r="G18" s="355" t="n">
        <x:v>1</x:v>
      </x:c>
      <x:c r="H18" s="355" t="n">
        <x:v>1</x:v>
      </x:c>
      <x:c r="I18" s="338" t="str">
        <x:v>Procedural</x:v>
      </x:c>
      <x:c r="J18" s="339" t="str">
        <x:v>Implement a structured-output request and reject responses that fail schema validation.</x:v>
      </x:c>
    </x:row>
    <x:row r="19" ht="62" customHeight="1">
      <x:c r="A19" s="354" t="str">
        <x:v>Q014</x:v>
      </x:c>
      <x:c r="B19" s="355" t="n">
        <x:v>2</x:v>
      </x:c>
      <x:c r="C19" s="355" t="str">
        <x:v>Multiple Choice</x:v>
      </x:c>
      <x:c r="D19" s="355" t="str">
        <x:v>C</x:v>
      </x:c>
      <x:c r="E19" s="338" t="str">
        <x:v>Conversation memory must be selected, summarized, secured, and retained intentionally.</x:v>
      </x:c>
      <x:c r="F19" s="338" t="str">
        <x:v>1 point for the correct option; 0 otherwise.</x:v>
      </x:c>
      <x:c r="G19" s="355" t="n">
        <x:v>1</x:v>
      </x:c>
      <x:c r="H19" s="355" t="n">
        <x:v>1</x:v>
      </x:c>
      <x:c r="I19" s="338" t="str">
        <x:v>Causal/Normative</x:v>
      </x:c>
      <x:c r="J19" s="339" t="str">
        <x:v>Design a conversation-memory policy covering relevance, retention, privacy, and token limits.</x:v>
      </x:c>
    </x:row>
    <x:row r="20" ht="62" customHeight="1">
      <x:c r="A20" s="354" t="str">
        <x:v>Q015</x:v>
      </x:c>
      <x:c r="B20" s="355" t="n">
        <x:v>2</x:v>
      </x:c>
      <x:c r="C20" s="355" t="str">
        <x:v>Multiple Choice</x:v>
      </x:c>
      <x:c r="D20" s="355" t="str">
        <x:v>A</x:v>
      </x:c>
      <x:c r="E20" s="338" t="str">
        <x:v>Prompt changes require repeatable regression evaluation against representative and edge cases.</x:v>
      </x:c>
      <x:c r="F20" s="338" t="str">
        <x:v>1 point for the correct option; 0 otherwise.</x:v>
      </x:c>
      <x:c r="G20" s="355" t="n">
        <x:v>1</x:v>
      </x:c>
      <x:c r="H20" s="355" t="n">
        <x:v>1</x:v>
      </x:c>
      <x:c r="I20" s="338" t="str">
        <x:v>Procedural/Strategic</x:v>
      </x:c>
      <x:c r="J20" s="339" t="str">
        <x:v>Create prompt versions and a regression suite with pass/fail quality criteria.</x:v>
      </x:c>
    </x:row>
    <x:row r="21" ht="62" customHeight="1">
      <x:c r="A21" s="354" t="str">
        <x:v>Q016</x:v>
      </x:c>
      <x:c r="B21" s="355" t="n">
        <x:v>2</x:v>
      </x:c>
      <x:c r="C21" s="355" t="str">
        <x:v>Multiple Choice</x:v>
      </x:c>
      <x:c r="D21" s="355" t="str">
        <x:v>D</x:v>
      </x:c>
      <x:c r="E21" s="338" t="str">
        <x:v>Streaming improves perceived responsiveness even when total generation time is similar.</x:v>
      </x:c>
      <x:c r="F21" s="338" t="str">
        <x:v>1 point for the correct option; 0 otherwise.</x:v>
      </x:c>
      <x:c r="G21" s="355" t="n">
        <x:v>1</x:v>
      </x:c>
      <x:c r="H21" s="355" t="n">
        <x:v>1</x:v>
      </x:c>
      <x:c r="I21" s="338" t="str">
        <x:v>Conceptual</x:v>
      </x:c>
      <x:c r="J21" s="339" t="str">
        <x:v>Implement a streaming client and compare time-to-first-token with a non-streaming request.</x:v>
      </x:c>
    </x:row>
    <x:row r="22" ht="62" customHeight="1">
      <x:c r="A22" s="354" t="str">
        <x:v>Q017</x:v>
      </x:c>
      <x:c r="B22" s="355" t="n">
        <x:v>2</x:v>
      </x:c>
      <x:c r="C22" s="355" t="str">
        <x:v>Short Response</x:v>
      </x:c>
      <x:c r="D22" s="355" t="str"/>
      <x:c r="E22" s="338" t="str">
        <x:v>Synchronous waits for a complete response and suits short interactive work; asynchronous queues or tracks longer/batch work; streaming keeps an interactive connection while returning incremental output for responsive experiences.</x:v>
      </x:c>
      <x:c r="F22" s="338" t="str">
        <x:v>2 = covers all essential ideas accurately; 1.5 = accurate with a minor omission; 1 = partial; 0.5 = minimal; 0 = incorrect.</x:v>
      </x:c>
      <x:c r="G22" s="355" t="n">
        <x:v>2</x:v>
      </x:c>
      <x:c r="H22" s="355" t="n">
        <x:v>1.5</x:v>
      </x:c>
      <x:c r="I22" s="338" t="str">
        <x:v>Conditional</x:v>
      </x:c>
      <x:c r="J22" s="339" t="str">
        <x:v>Classify ten workloads into synchronous, asynchronous, or streaming patterns and justify each choice.</x:v>
      </x:c>
    </x:row>
    <x:row r="23" ht="62" customHeight="1">
      <x:c r="A23" s="354" t="str">
        <x:v>Q018</x:v>
      </x:c>
      <x:c r="B23" s="355" t="n">
        <x:v>2</x:v>
      </x:c>
      <x:c r="C23" s="355" t="str">
        <x:v>Scenario / Practical</x:v>
      </x:c>
      <x:c r="D23" s="355" t="str"/>
      <x:c r="E23" s="338" t="str">
        <x:v>Use bounded exponential backoff with jitter, rate limiting or queues, concurrency controls, idempotency, retry budgets, circuit breakers, fallback or graceful degradation, and traces/metrics. Avoid immediate unbounded retries.</x:v>
      </x:c>
      <x:c r="F23" s="338" t="str">
        <x:v>4 = comprehensive, ordered, and risk-aware; 3 = adequate and mostly complete; 2 = partial; 1 = minimal; 0 = incorrect.</x:v>
      </x:c>
      <x:c r="G23" s="355" t="n">
        <x:v>4</x:v>
      </x:c>
      <x:c r="H23" s="355" t="n">
        <x:v>3</x:v>
      </x:c>
      <x:c r="I23" s="338" t="str">
        <x:v>Causal/Diagnostic</x:v>
      </x:c>
      <x:c r="J23" s="339" t="str">
        <x:v>Run a throttling simulation and correct a retry storm using backoff, queueing, and circuit breakers.</x:v>
      </x:c>
    </x:row>
    <x:row r="24" ht="62" customHeight="1">
      <x:c r="A24" s="354" t="str">
        <x:v>Q019</x:v>
      </x:c>
      <x:c r="B24" s="355" t="n">
        <x:v>3</x:v>
      </x:c>
      <x:c r="C24" s="355" t="str">
        <x:v>Multiple Choice</x:v>
      </x:c>
      <x:c r="D24" s="355" t="str">
        <x:v>A</x:v>
      </x:c>
      <x:c r="E24" s="338" t="str">
        <x:v>Model selection should use the least costly model that meets quality, latency, and risk requirements.</x:v>
      </x:c>
      <x:c r="F24" s="338" t="str">
        <x:v>1 point for the correct option; 0 otherwise.</x:v>
      </x:c>
      <x:c r="G24" s="355" t="n">
        <x:v>1</x:v>
      </x:c>
      <x:c r="H24" s="355" t="n">
        <x:v>1</x:v>
      </x:c>
      <x:c r="I24" s="338" t="str">
        <x:v>Conditional/Strategic</x:v>
      </x:c>
      <x:c r="J24" s="339" t="str">
        <x:v>Compare models with a quality-cost-latency scorecard.</x:v>
      </x:c>
    </x:row>
    <x:row r="25" ht="62" customHeight="1">
      <x:c r="A25" s="354" t="str">
        <x:v>Q020</x:v>
      </x:c>
      <x:c r="B25" s="355" t="n">
        <x:v>3</x:v>
      </x:c>
      <x:c r="C25" s="355" t="str">
        <x:v>Multiple Choice</x:v>
      </x:c>
      <x:c r="D25" s="355" t="str">
        <x:v>C</x:v>
      </x:c>
      <x:c r="E25" s="338" t="str">
        <x:v>A model abstraction or gateway separates application contracts from provider/model selection.</x:v>
      </x:c>
      <x:c r="F25" s="338" t="str">
        <x:v>1 point for the correct option; 0 otherwise.</x:v>
      </x:c>
      <x:c r="G25" s="355" t="n">
        <x:v>1</x:v>
      </x:c>
      <x:c r="H25" s="355" t="n">
        <x:v>1</x:v>
      </x:c>
      <x:c r="I25" s="338" t="str">
        <x:v>Conceptual/Strategic</x:v>
      </x:c>
      <x:c r="J25" s="339" t="str">
        <x:v>Implement a stable model interface with configuration-driven routing.</x:v>
      </x:c>
    </x:row>
    <x:row r="26" ht="62" customHeight="1">
      <x:c r="A26" s="354" t="str">
        <x:v>Q021</x:v>
      </x:c>
      <x:c r="B26" s="355" t="n">
        <x:v>3</x:v>
      </x:c>
      <x:c r="C26" s="355" t="str">
        <x:v>Multiple Choice</x:v>
      </x:c>
      <x:c r="D26" s="355" t="str">
        <x:v>B</x:v>
      </x:c>
      <x:c r="E26" s="338" t="str">
        <x:v>Provisioned capacity is suited to predictable sustained workloads when its operational and cost trade-offs are justified.</x:v>
      </x:c>
      <x:c r="F26" s="338" t="str">
        <x:v>1 point for the correct option; 0 otherwise.</x:v>
      </x:c>
      <x:c r="G26" s="355" t="n">
        <x:v>1</x:v>
      </x:c>
      <x:c r="H26" s="355" t="n">
        <x:v>1</x:v>
      </x:c>
      <x:c r="I26" s="338" t="str">
        <x:v>Conditional</x:v>
      </x:c>
      <x:c r="J26" s="339" t="str">
        <x:v>Compare on-demand and provisioned deployment economics for variable and steady workloads.</x:v>
      </x:c>
    </x:row>
    <x:row r="27" ht="62" customHeight="1">
      <x:c r="A27" s="354" t="str">
        <x:v>Q022</x:v>
      </x:c>
      <x:c r="B27" s="355" t="n">
        <x:v>3</x:v>
      </x:c>
      <x:c r="C27" s="355" t="str">
        <x:v>Multiple Choice</x:v>
      </x:c>
      <x:c r="D27" s="355" t="str">
        <x:v>D</x:v>
      </x:c>
      <x:c r="E27" s="338" t="str">
        <x:v>Parameter-efficient methods customize behavior while updating far fewer parameters than full fine-tuning.</x:v>
      </x:c>
      <x:c r="F27" s="338" t="str">
        <x:v>1 point for the correct option; 0 otherwise.</x:v>
      </x:c>
      <x:c r="G27" s="355" t="n">
        <x:v>1</x:v>
      </x:c>
      <x:c r="H27" s="355" t="n">
        <x:v>1</x:v>
      </x:c>
      <x:c r="I27" s="338" t="str">
        <x:v>Declarative/Conceptual</x:v>
      </x:c>
      <x:c r="J27" s="339" t="str">
        <x:v>Compare prompting, RAG, full fine-tuning, and parameter-efficient adaptation by use case.</x:v>
      </x:c>
    </x:row>
    <x:row r="28" ht="62" customHeight="1">
      <x:c r="A28" s="354" t="str">
        <x:v>Q023</x:v>
      </x:c>
      <x:c r="B28" s="355" t="n">
        <x:v>3</x:v>
      </x:c>
      <x:c r="C28" s="355" t="str">
        <x:v>Short Response</x:v>
      </x:c>
      <x:c r="D28" s="355" t="str"/>
      <x:c r="E28" s="338" t="str">
        <x:v>On-demand is managed per-request access with elastic usage; provisioned throughput reserves model capacity for predictable workloads; SageMaker endpoints provide greater hosting and model-control flexibility, including custom models, with more operational responsibility.</x:v>
      </x:c>
      <x:c r="F28" s="338" t="str">
        <x:v>2 = covers all essential ideas accurately; 1.5 = accurate with a minor omission; 1 = partial; 0.5 = minimal; 0 = incorrect.</x:v>
      </x:c>
      <x:c r="G28" s="355" t="n">
        <x:v>2</x:v>
      </x:c>
      <x:c r="H28" s="355" t="n">
        <x:v>1.5</x:v>
      </x:c>
      <x:c r="I28" s="338" t="str">
        <x:v>Conditional/Embedded</x:v>
      </x:c>
      <x:c r="J28" s="339" t="str">
        <x:v>Build a deployment decision table using traffic, model ownership, control, latency, and operations.</x:v>
      </x:c>
    </x:row>
    <x:row r="29" ht="62" customHeight="1">
      <x:c r="A29" s="354" t="str">
        <x:v>Q024</x:v>
      </x:c>
      <x:c r="B29" s="355" t="n">
        <x:v>3</x:v>
      </x:c>
      <x:c r="C29" s="355" t="str">
        <x:v>Scenario / Practical</x:v>
      </x:c>
      <x:c r="D29" s="355" t="str"/>
      <x:c r="E29" s="338" t="str">
        <x:v>Include health/throttling signals, cross-Region inference or deployment where allowed, fallback model or provider, circuit breakers, retry limits, graceful degradation, data-residency checks, observability, and tested recovery/rollback.</x:v>
      </x:c>
      <x:c r="F29" s="338" t="str">
        <x:v>4 = comprehensive, ordered, and risk-aware; 3 = adequate and mostly complete; 2 = partial; 1 = minimal; 0 = incorrect.</x:v>
      </x:c>
      <x:c r="G29" s="355" t="n">
        <x:v>4</x:v>
      </x:c>
      <x:c r="H29" s="355" t="n">
        <x:v>3</x:v>
      </x:c>
      <x:c r="I29" s="338" t="str">
        <x:v>Strategic</x:v>
      </x:c>
      <x:c r="J29" s="339" t="str">
        <x:v>Create and test a model/Region failure plan with fallback and graceful-degradation behavior.</x:v>
      </x:c>
    </x:row>
    <x:row r="30" ht="62" customHeight="1">
      <x:c r="A30" s="354" t="str">
        <x:v>Q025</x:v>
      </x:c>
      <x:c r="B30" s="355" t="n">
        <x:v>4</x:v>
      </x:c>
      <x:c r="C30" s="355" t="str">
        <x:v>Multiple Choice</x:v>
      </x:c>
      <x:c r="D30" s="355" t="str">
        <x:v>B</x:v>
      </x:c>
      <x:c r="E30" s="338" t="str">
        <x:v>Events decouple producers and consumers and support asynchronous scaling and recovery.</x:v>
      </x:c>
      <x:c r="F30" s="338" t="str">
        <x:v>1 point for the correct option; 0 otherwise.</x:v>
      </x:c>
      <x:c r="G30" s="355" t="n">
        <x:v>1</x:v>
      </x:c>
      <x:c r="H30" s="355" t="n">
        <x:v>1</x:v>
      </x:c>
      <x:c r="I30" s="338" t="str">
        <x:v>Conditional</x:v>
      </x:c>
      <x:c r="J30" s="339" t="str">
        <x:v>Compare event, queue, workflow, and synchronous API patterns for enterprise workloads.</x:v>
      </x:c>
    </x:row>
    <x:row r="31" ht="62" customHeight="1">
      <x:c r="A31" s="354" t="str">
        <x:v>Q026</x:v>
      </x:c>
      <x:c r="B31" s="355" t="n">
        <x:v>4</x:v>
      </x:c>
      <x:c r="C31" s="355" t="str">
        <x:v>Multiple Choice</x:v>
      </x:c>
      <x:c r="D31" s="355" t="str">
        <x:v>C</x:v>
      </x:c>
      <x:c r="E31" s="338" t="str">
        <x:v>Federation plus role-based least privilege avoids shared credentials and limits access.</x:v>
      </x:c>
      <x:c r="F31" s="338" t="str">
        <x:v>1 point for the correct option; 0 otherwise.</x:v>
      </x:c>
      <x:c r="G31" s="355" t="n">
        <x:v>1</x:v>
      </x:c>
      <x:c r="H31" s="355" t="n">
        <x:v>1</x:v>
      </x:c>
      <x:c r="I31" s="338" t="str">
        <x:v>Normative/Embedded</x:v>
      </x:c>
      <x:c r="J31" s="339" t="str">
        <x:v>Implement a federated or role-based access pattern and test denied operations.</x:v>
      </x:c>
    </x:row>
    <x:row r="32" ht="62" customHeight="1">
      <x:c r="A32" s="354" t="str">
        <x:v>Q027</x:v>
      </x:c>
      <x:c r="B32" s="355" t="n">
        <x:v>4</x:v>
      </x:c>
      <x:c r="C32" s="355" t="str">
        <x:v>Multiple Choice</x:v>
      </x:c>
      <x:c r="D32" s="355" t="str">
        <x:v>A</x:v>
      </x:c>
      <x:c r="E32" s="338" t="str">
        <x:v>Data residency and sovereignty constraints determine storage, processing, connectivity, and model-access patterns.</x:v>
      </x:c>
      <x:c r="F32" s="338" t="str">
        <x:v>1 point for the correct option; 0 otherwise.</x:v>
      </x:c>
      <x:c r="G32" s="355" t="n">
        <x:v>1</x:v>
      </x:c>
      <x:c r="H32" s="355" t="n">
        <x:v>1</x:v>
      </x:c>
      <x:c r="I32" s="338" t="str">
        <x:v>Strategic/Normative</x:v>
      </x:c>
      <x:c r="J32" s="339" t="str">
        <x:v>Design a hybrid or regional architecture that marks where restricted data may and may not flow.</x:v>
      </x:c>
    </x:row>
    <x:row r="33" ht="62" customHeight="1">
      <x:c r="A33" s="354" t="str">
        <x:v>Q028</x:v>
      </x:c>
      <x:c r="B33" s="355" t="n">
        <x:v>4</x:v>
      </x:c>
      <x:c r="C33" s="355" t="str">
        <x:v>Multiple Choice</x:v>
      </x:c>
      <x:c r="D33" s="355" t="str">
        <x:v>D</x:v>
      </x:c>
      <x:c r="E33" s="338" t="str">
        <x:v>GenAI CI/CD requires quality, safety, and operational validation plus controlled rollout and rollback.</x:v>
      </x:c>
      <x:c r="F33" s="338" t="str">
        <x:v>1 point for the correct option; 0 otherwise.</x:v>
      </x:c>
      <x:c r="G33" s="355" t="n">
        <x:v>1</x:v>
      </x:c>
      <x:c r="H33" s="355" t="n">
        <x:v>1</x:v>
      </x:c>
      <x:c r="I33" s="338" t="str">
        <x:v>Procedural/Strategic</x:v>
      </x:c>
      <x:c r="J33" s="339" t="str">
        <x:v>Build a pipeline with prompt/model regression gates and a rollback drill.</x:v>
      </x:c>
    </x:row>
    <x:row r="34" ht="62" customHeight="1">
      <x:c r="A34" s="354" t="str">
        <x:v>Q029</x:v>
      </x:c>
      <x:c r="B34" s="355" t="n">
        <x:v>4</x:v>
      </x:c>
      <x:c r="C34" s="355" t="str">
        <x:v>Short Response</x:v>
      </x:c>
      <x:c r="D34" s="355" t="str"/>
      <x:c r="E34" s="338" t="str">
        <x:v>A GenAI gateway is a stable abstraction between applications and models. It can centralize authentication/authorization, routing, quotas, request validation, guardrails, logging, cost tracking, provider abstraction, and policy enforcement.</x:v>
      </x:c>
      <x:c r="F34" s="338" t="str">
        <x:v>2 = covers all essential ideas accurately; 1.5 = accurate with a minor omission; 1 = partial; 0.5 = minimal; 0 = incorrect.</x:v>
      </x:c>
      <x:c r="G34" s="355" t="n">
        <x:v>2</x:v>
      </x:c>
      <x:c r="H34" s="355" t="n">
        <x:v>1.5</x:v>
      </x:c>
      <x:c r="I34" s="338" t="str">
        <x:v>Conceptual/Institutional</x:v>
      </x:c>
      <x:c r="J34" s="339" t="str">
        <x:v>Draw a GenAI gateway and assign controls that should be centralized versus application-specific.</x:v>
      </x:c>
    </x:row>
    <x:row r="35" ht="62" customHeight="1">
      <x:c r="A35" s="354" t="str">
        <x:v>Q030</x:v>
      </x:c>
      <x:c r="B35" s="355" t="n">
        <x:v>4</x:v>
      </x:c>
      <x:c r="C35" s="355" t="str">
        <x:v>Scenario / Practical</x:v>
      </x:c>
      <x:c r="D35" s="355" t="str"/>
      <x:c r="E35" s="338" t="str">
        <x:v>Use a stable API or event interface, adapter/service layer or gateway, least-privilege access, asynchronous handling if appropriate, validation, PII controls, retries/idempotency, logging/tracing, prompt/model versioning, quality gates, and rollback.</x:v>
      </x:c>
      <x:c r="F35" s="338" t="str">
        <x:v>4 = comprehensive, ordered, and risk-aware; 3 = adequate and mostly complete; 2 = partial; 1 = minimal; 0 = incorrect.</x:v>
      </x:c>
      <x:c r="G35" s="355" t="n">
        <x:v>4</x:v>
      </x:c>
      <x:c r="H35" s="355" t="n">
        <x:v>3</x:v>
      </x:c>
      <x:c r="I35" s="338" t="str">
        <x:v>Strategic/Institutional</x:v>
      </x:c>
      <x:c r="J35" s="339" t="str">
        <x:v>Complete an enterprise integration architecture case and defend coupling, security, and failure behavior.</x:v>
      </x:c>
    </x:row>
    <x:row r="36" ht="62" customHeight="1">
      <x:c r="A36" s="354" t="str">
        <x:v>Q031</x:v>
      </x:c>
      <x:c r="B36" s="355" t="n">
        <x:v>5</x:v>
      </x:c>
      <x:c r="C36" s="355" t="str">
        <x:v>Multiple Choice</x:v>
      </x:c>
      <x:c r="D36" s="355" t="str">
        <x:v>B</x:v>
      </x:c>
      <x:c r="E36" s="338" t="str">
        <x:v>A precise tool contract enables reliable selection, parameter construction, validation, and error handling.</x:v>
      </x:c>
      <x:c r="F36" s="338" t="str">
        <x:v>1 point for the correct option; 0 otherwise.</x:v>
      </x:c>
      <x:c r="G36" s="355" t="n">
        <x:v>1</x:v>
      </x:c>
      <x:c r="H36" s="355" t="n">
        <x:v>1</x:v>
      </x:c>
      <x:c r="I36" s="338" t="str">
        <x:v>Procedural</x:v>
      </x:c>
      <x:c r="J36" s="339" t="str">
        <x:v>Design tool schemas and test valid, invalid, and ambiguous calls.</x:v>
      </x:c>
    </x:row>
    <x:row r="37" ht="62" customHeight="1">
      <x:c r="A37" s="354" t="str">
        <x:v>Q032</x:v>
      </x:c>
      <x:c r="B37" s="355" t="n">
        <x:v>5</x:v>
      </x:c>
      <x:c r="C37" s="355" t="str">
        <x:v>Multiple Choice</x:v>
      </x:c>
      <x:c r="D37" s="355" t="str">
        <x:v>C</x:v>
      </x:c>
      <x:c r="E37" s="338" t="str">
        <x:v>External state stores provide persistence, access control, and lifecycle management.</x:v>
      </x:c>
      <x:c r="F37" s="338" t="str">
        <x:v>1 point for the correct option; 0 otherwise.</x:v>
      </x:c>
      <x:c r="G37" s="355" t="n">
        <x:v>1</x:v>
      </x:c>
      <x:c r="H37" s="355" t="n">
        <x:v>1</x:v>
      </x:c>
      <x:c r="I37" s="338" t="str">
        <x:v>Conceptual/Embedded</x:v>
      </x:c>
      <x:c r="J37" s="339" t="str">
        <x:v>Implement an agent with explicit session state in a controlled external store.</x:v>
      </x:c>
    </x:row>
    <x:row r="38" ht="62" customHeight="1">
      <x:c r="A38" s="354" t="str">
        <x:v>Q033</x:v>
      </x:c>
      <x:c r="B38" s="355" t="n">
        <x:v>5</x:v>
      </x:c>
      <x:c r="C38" s="355" t="str">
        <x:v>Multiple Choice</x:v>
      </x:c>
      <x:c r="D38" s="355" t="str">
        <x:v>A</x:v>
      </x:c>
      <x:c r="E38" s="338" t="str">
        <x:v>Explicit execution limits and failure controls bound agent behavior.</x:v>
      </x:c>
      <x:c r="F38" s="338" t="str">
        <x:v>1 point for the correct option; 0 otherwise.</x:v>
      </x:c>
      <x:c r="G38" s="355" t="n">
        <x:v>1</x:v>
      </x:c>
      <x:c r="H38" s="355" t="n">
        <x:v>1</x:v>
      </x:c>
      <x:c r="I38" s="338" t="str">
        <x:v>Causal/Normative</x:v>
      </x:c>
      <x:c r="J38" s="339" t="str">
        <x:v>Inject tool failures and implement step limits, timeouts, and circuit breakers.</x:v>
      </x:c>
    </x:row>
    <x:row r="39" ht="62" customHeight="1">
      <x:c r="A39" s="354" t="str">
        <x:v>Q034</x:v>
      </x:c>
      <x:c r="B39" s="355" t="n">
        <x:v>5</x:v>
      </x:c>
      <x:c r="C39" s="355" t="str">
        <x:v>Multiple Choice</x:v>
      </x:c>
      <x:c r="D39" s="355" t="str">
        <x:v>D</x:v>
      </x:c>
      <x:c r="E39" s="338" t="str">
        <x:v>High-impact or irreversible actions require deterministic controls and human approval at the appropriate risk boundary.</x:v>
      </x:c>
      <x:c r="F39" s="338" t="str">
        <x:v>1 point for the correct option; 0 otherwise.</x:v>
      </x:c>
      <x:c r="G39" s="355" t="n">
        <x:v>1</x:v>
      </x:c>
      <x:c r="H39" s="355" t="n">
        <x:v>1</x:v>
      </x:c>
      <x:c r="I39" s="338" t="str">
        <x:v>Conditional/Normative</x:v>
      </x:c>
      <x:c r="J39" s="339" t="str">
        <x:v>Design risk-based human-in-the-loop approval and escalation rules.</x:v>
      </x:c>
    </x:row>
    <x:row r="40" ht="62" customHeight="1">
      <x:c r="A40" s="354" t="str">
        <x:v>Q035</x:v>
      </x:c>
      <x:c r="B40" s="355" t="n">
        <x:v>5</x:v>
      </x:c>
      <x:c r="C40" s="355" t="str">
        <x:v>Short Response</x:v>
      </x:c>
      <x:c r="D40" s="355" t="str"/>
      <x:c r="E40" s="338" t="str">
        <x:v>Agents are useful when planning or tool selection must adapt to uncertain multi-step tasks. Deterministic workflows are preferable when steps, rules, safety constraints, and outcomes can be explicitly defined or require strict repeatability.</x:v>
      </x:c>
      <x:c r="F40" s="338" t="str">
        <x:v>2 = covers all essential ideas accurately; 1.5 = accurate with a minor omission; 1 = partial; 0.5 = minimal; 0 = incorrect.</x:v>
      </x:c>
      <x:c r="G40" s="355" t="n">
        <x:v>2</x:v>
      </x:c>
      <x:c r="H40" s="355" t="n">
        <x:v>1.5</x:v>
      </x:c>
      <x:c r="I40" s="338" t="str">
        <x:v>Conditional/Strategic</x:v>
      </x:c>
      <x:c r="J40" s="339" t="str">
        <x:v>Compare agentic and deterministic designs for several workflows and justify the simpler safe choice.</x:v>
      </x:c>
    </x:row>
    <x:row r="41" ht="62" customHeight="1">
      <x:c r="A41" s="354" t="str">
        <x:v>Q036</x:v>
      </x:c>
      <x:c r="B41" s="355" t="n">
        <x:v>5</x:v>
      </x:c>
      <x:c r="C41" s="355" t="str">
        <x:v>Scenario / Practical</x:v>
      </x:c>
      <x:c r="D41" s="355" t="str"/>
      <x:c r="E41" s="338" t="str">
        <x:v>Inspect traces and state, ensure tool errors/empty results are explicit, prevent duplicate actions, add attempt/step limits and timeouts, define alternate tools or clarification/human escalation, validate parameters, and record termination reasons.</x:v>
      </x:c>
      <x:c r="F41" s="338" t="str">
        <x:v>4 = comprehensive, ordered, and risk-aware; 3 = adequate and mostly complete; 2 = partial; 1 = minimal; 0 = incorrect.</x:v>
      </x:c>
      <x:c r="G41" s="355" t="n">
        <x:v>4</x:v>
      </x:c>
      <x:c r="H41" s="355" t="n">
        <x:v>3</x:v>
      </x:c>
      <x:c r="I41" s="338" t="str">
        <x:v>Causal/Diagnostic</x:v>
      </x:c>
      <x:c r="J41" s="339" t="str">
        <x:v>Use an agent trajectory lab to identify planning, tool, state, and stopping failures.</x:v>
      </x:c>
    </x:row>
    <x:row r="42" ht="62" customHeight="1">
      <x:c r="A42" s="354" t="str">
        <x:v>Q037</x:v>
      </x:c>
      <x:c r="B42" s="355" t="n">
        <x:v>6</x:v>
      </x:c>
      <x:c r="C42" s="355" t="str">
        <x:v>Multiple Choice</x:v>
      </x:c>
      <x:c r="D42" s="355" t="str">
        <x:v>C</x:v>
      </x:c>
      <x:c r="E42" s="338" t="str">
        <x:v>Prompt injection requires layered architectural controls; prompting or content filtering alone is insufficient.</x:v>
      </x:c>
      <x:c r="F42" s="338" t="str">
        <x:v>1 point for the correct option; 0 otherwise.</x:v>
      </x:c>
      <x:c r="G42" s="355" t="n">
        <x:v>1</x:v>
      </x:c>
      <x:c r="H42" s="355" t="n">
        <x:v>1</x:v>
      </x:c>
      <x:c r="I42" s="338" t="str">
        <x:v>Normative/Strategic</x:v>
      </x:c>
      <x:c r="J42" s="339" t="str">
        <x:v>Threat-model direct and indirect prompt injection across retrieval and tool boundaries.</x:v>
      </x:c>
    </x:row>
    <x:row r="43" ht="62" customHeight="1">
      <x:c r="A43" s="354" t="str">
        <x:v>Q038</x:v>
      </x:c>
      <x:c r="B43" s="355" t="n">
        <x:v>6</x:v>
      </x:c>
      <x:c r="C43" s="355" t="str">
        <x:v>Multiple Choice</x:v>
      </x:c>
      <x:c r="D43" s="355" t="str">
        <x:v>B</x:v>
      </x:c>
      <x:c r="E43" s="338" t="str">
        <x:v>Grounding reduces but does not eliminate hallucination or misuse.</x:v>
      </x:c>
      <x:c r="F43" s="338" t="str">
        <x:v>1 point for the correct option; 0 otherwise.</x:v>
      </x:c>
      <x:c r="G43" s="355" t="n">
        <x:v>1</x:v>
      </x:c>
      <x:c r="H43" s="355" t="n">
        <x:v>1</x:v>
      </x:c>
      <x:c r="I43" s="338" t="str">
        <x:v>Conceptual/Normative</x:v>
      </x:c>
      <x:c r="J43" s="339" t="str">
        <x:v>Evaluate grounded answers for factual support and appropriate abstention.</x:v>
      </x:c>
    </x:row>
    <x:row r="44" ht="62" customHeight="1">
      <x:c r="A44" s="354" t="str">
        <x:v>Q039</x:v>
      </x:c>
      <x:c r="B44" s="355" t="n">
        <x:v>6</x:v>
      </x:c>
      <x:c r="C44" s="355" t="str">
        <x:v>Multiple Choice</x:v>
      </x:c>
      <x:c r="D44" s="355" t="str">
        <x:v>D</x:v>
      </x:c>
      <x:c r="E44" s="338" t="str">
        <x:v>High-risk model output must pass deterministic controls and authorization before execution.</x:v>
      </x:c>
      <x:c r="F44" s="338" t="str">
        <x:v>1 point for the correct option; 0 otherwise.</x:v>
      </x:c>
      <x:c r="G44" s="355" t="n">
        <x:v>1</x:v>
      </x:c>
      <x:c r="H44" s="355" t="n">
        <x:v>1</x:v>
      </x:c>
      <x:c r="I44" s="338" t="str">
        <x:v>Procedural/Normative</x:v>
      </x:c>
      <x:c r="J44" s="339" t="str">
        <x:v>Build a structured tool request and enforce schema, authorization, and allow-list checks.</x:v>
      </x:c>
    </x:row>
    <x:row r="45" ht="62" customHeight="1">
      <x:c r="A45" s="354" t="str">
        <x:v>Q040</x:v>
      </x:c>
      <x:c r="B45" s="355" t="n">
        <x:v>6</x:v>
      </x:c>
      <x:c r="C45" s="355" t="str">
        <x:v>Multiple Choice</x:v>
      </x:c>
      <x:c r="D45" s="355" t="str">
        <x:v>A</x:v>
      </x:c>
      <x:c r="E45" s="338" t="str">
        <x:v>Defense in depth uses independent preventive, detective, and corrective controls.</x:v>
      </x:c>
      <x:c r="F45" s="338" t="str">
        <x:v>1 point for the correct option; 0 otherwise.</x:v>
      </x:c>
      <x:c r="G45" s="355" t="n">
        <x:v>1</x:v>
      </x:c>
      <x:c r="H45" s="355" t="n">
        <x:v>1</x:v>
      </x:c>
      <x:c r="I45" s="338" t="str">
        <x:v>Strategic/Normative</x:v>
      </x:c>
      <x:c r="J45" s="339" t="str">
        <x:v>Design layered controls and test how the system behaves when one layer is bypassed.</x:v>
      </x:c>
    </x:row>
    <x:row r="46" ht="62" customHeight="1">
      <x:c r="A46" s="354" t="str">
        <x:v>Q041</x:v>
      </x:c>
      <x:c r="B46" s="355" t="n">
        <x:v>6</x:v>
      </x:c>
      <x:c r="C46" s="355" t="str">
        <x:v>Short Response</x:v>
      </x:c>
      <x:c r="D46" s="355" t="str"/>
      <x:c r="E46" s="338" t="str">
        <x:v>Masking hides or replaces selected values and may be reversible or context-specific; anonymization aims to prevent re-identification. Stronger transformation can reduce model utility, so the method should reflect purpose, risk, retention, and access.</x:v>
      </x:c>
      <x:c r="F46" s="338" t="str">
        <x:v>2 = covers all essential ideas accurately; 1.5 = accurate with a minor omission; 1 = partial; 0.5 = minimal; 0 = incorrect.</x:v>
      </x:c>
      <x:c r="G46" s="355" t="n">
        <x:v>2</x:v>
      </x:c>
      <x:c r="H46" s="355" t="n">
        <x:v>1.5</x:v>
      </x:c>
      <x:c r="I46" s="338" t="str">
        <x:v>Conceptual/Normative</x:v>
      </x:c>
      <x:c r="J46" s="339" t="str">
        <x:v>Compare masking, tokenization, redaction, and anonymization on a sensitive dataset.</x:v>
      </x:c>
    </x:row>
    <x:row r="47" ht="62" customHeight="1">
      <x:c r="A47" s="354" t="str">
        <x:v>Q042</x:v>
      </x:c>
      <x:c r="B47" s="355" t="n">
        <x:v>6</x:v>
      </x:c>
      <x:c r="C47" s="355" t="str">
        <x:v>Scenario / Practical</x:v>
      </x:c>
      <x:c r="D47" s="355" t="str"/>
      <x:c r="E47" s="338" t="str">
        <x:v>Include strong identity and authorization, least-privilege data/tool access, PII detection/redaction, untrusted-content handling, guardrails, structured tool calls and validation, high-risk approval/escalation, grounding, protected logs/retention, monitoring, adversarial tests, and incident controls.</x:v>
      </x:c>
      <x:c r="F47" s="338" t="str">
        <x:v>4 = comprehensive, ordered, and risk-aware; 3 = adequate and mostly complete; 2 = partial; 1 = minimal; 0 = incorrect.</x:v>
      </x:c>
      <x:c r="G47" s="355" t="n">
        <x:v>4</x:v>
      </x:c>
      <x:c r="H47" s="355" t="n">
        <x:v>3</x:v>
      </x:c>
      <x:c r="I47" s="338" t="str">
        <x:v>Strategic/Normative</x:v>
      </x:c>
      <x:c r="J47" s="339" t="str">
        <x:v>Complete a threat model and implement a layered safe tool-use workflow.</x:v>
      </x:c>
    </x:row>
    <x:row r="48" ht="62" customHeight="1">
      <x:c r="A48" s="354" t="str">
        <x:v>Q043</x:v>
      </x:c>
      <x:c r="B48" s="355" t="n">
        <x:v>7</x:v>
      </x:c>
      <x:c r="C48" s="355" t="str">
        <x:v>Multiple Choice</x:v>
      </x:c>
      <x:c r="D48" s="355" t="str">
        <x:v>C</x:v>
      </x:c>
      <x:c r="E48" s="338" t="str">
        <x:v>Source attribution and lineage preserve the relationship between output, retrieved evidence, and origin.</x:v>
      </x:c>
      <x:c r="F48" s="338" t="str">
        <x:v>1 point for the correct option; 0 otherwise.</x:v>
      </x:c>
      <x:c r="G48" s="355" t="n">
        <x:v>1</x:v>
      </x:c>
      <x:c r="H48" s="355" t="n">
        <x:v>1</x:v>
      </x:c>
      <x:c r="I48" s="338" t="str">
        <x:v>Procedural/Institutional</x:v>
      </x:c>
      <x:c r="J48" s="339" t="str">
        <x:v>Trace sample outputs through document, chunk, index, prompt, and response metadata.</x:v>
      </x:c>
    </x:row>
    <x:row r="49" ht="62" customHeight="1">
      <x:c r="A49" s="354" t="str">
        <x:v>Q044</x:v>
      </x:c>
      <x:c r="B49" s="355" t="n">
        <x:v>7</x:v>
      </x:c>
      <x:c r="C49" s="355" t="str">
        <x:v>Multiple Choice</x:v>
      </x:c>
      <x:c r="D49" s="355" t="str">
        <x:v>B</x:v>
      </x:c>
      <x:c r="E49" s="338" t="str">
        <x:v>Model cards communicate appropriate use, evidence, limitations, and risk information.</x:v>
      </x:c>
      <x:c r="F49" s="338" t="str">
        <x:v>1 point for the correct option; 0 otherwise.</x:v>
      </x:c>
      <x:c r="G49" s="355" t="n">
        <x:v>1</x:v>
      </x:c>
      <x:c r="H49" s="355" t="n">
        <x:v>1</x:v>
      </x:c>
      <x:c r="I49" s="338" t="str">
        <x:v>Declarative/Normative</x:v>
      </x:c>
      <x:c r="J49" s="339" t="str">
        <x:v>Create and critique a model card for a specific business use case.</x:v>
      </x:c>
    </x:row>
    <x:row r="50" ht="62" customHeight="1">
      <x:c r="A50" s="354" t="str">
        <x:v>Q045</x:v>
      </x:c>
      <x:c r="B50" s="355" t="n">
        <x:v>7</x:v>
      </x:c>
      <x:c r="C50" s="355" t="str">
        <x:v>Multiple Choice</x:v>
      </x:c>
      <x:c r="D50" s="355" t="str">
        <x:v>A</x:v>
      </x:c>
      <x:c r="E50" s="338" t="str">
        <x:v>Auditability requires reconstructable identities, versions, inputs/sources, actions, and control outcomes.</x:v>
      </x:c>
      <x:c r="F50" s="338" t="str">
        <x:v>1 point for the correct option; 0 otherwise.</x:v>
      </x:c>
      <x:c r="G50" s="355" t="n">
        <x:v>1</x:v>
      </x:c>
      <x:c r="H50" s="355" t="n">
        <x:v>1</x:v>
      </x:c>
      <x:c r="I50" s="338" t="str">
        <x:v>Procedural/Institutional</x:v>
      </x:c>
      <x:c r="J50" s="339" t="str">
        <x:v>Build an evidence chain that reconstructs a model interaction and approval decision.</x:v>
      </x:c>
    </x:row>
    <x:row r="51" ht="62" customHeight="1">
      <x:c r="A51" s="354" t="str">
        <x:v>Q046</x:v>
      </x:c>
      <x:c r="B51" s="355" t="n">
        <x:v>7</x:v>
      </x:c>
      <x:c r="C51" s="355" t="str">
        <x:v>Multiple Choice</x:v>
      </x:c>
      <x:c r="D51" s="355" t="str">
        <x:v>D</x:v>
      </x:c>
      <x:c r="E51" s="338" t="str">
        <x:v>Fairness evaluation is context-specific and requires subgroup evidence rather than only aggregate performance.</x:v>
      </x:c>
      <x:c r="F51" s="338" t="str">
        <x:v>1 point for the correct option; 0 otherwise.</x:v>
      </x:c>
      <x:c r="G51" s="355" t="n">
        <x:v>1</x:v>
      </x:c>
      <x:c r="H51" s="355" t="n">
        <x:v>1</x:v>
      </x:c>
      <x:c r="I51" s="338" t="str">
        <x:v>Conceptual/Normative</x:v>
      </x:c>
      <x:c r="J51" s="339" t="str">
        <x:v>Perform subgroup evaluation and explain the limitations of the selected metric.</x:v>
      </x:c>
    </x:row>
    <x:row r="52" ht="62" customHeight="1">
      <x:c r="A52" s="354" t="str">
        <x:v>Q047</x:v>
      </x:c>
      <x:c r="B52" s="355" t="n">
        <x:v>7</x:v>
      </x:c>
      <x:c r="C52" s="355" t="str">
        <x:v>Short Response</x:v>
      </x:c>
      <x:c r="D52" s="355" t="str"/>
      <x:c r="E52" s="338" t="str">
        <x:v>A complete answer identifies model/application owner, data owner/steward, security/privacy/compliance roles, operations/monitoring, human reviewers where needed, deployment approval, incident escalation, and an accountable authority for residual risk.</x:v>
      </x:c>
      <x:c r="F52" s="338" t="str">
        <x:v>2 = covers all essential ideas accurately; 1.5 = accurate with a minor omission; 1 = partial; 0.5 = minimal; 0 = incorrect.</x:v>
      </x:c>
      <x:c r="G52" s="355" t="n">
        <x:v>2</x:v>
      </x:c>
      <x:c r="H52" s="355" t="n">
        <x:v>1.5</x:v>
      </x:c>
      <x:c r="I52" s="338" t="str">
        <x:v>Institutional/Strategic</x:v>
      </x:c>
      <x:c r="J52" s="339" t="str">
        <x:v>Create a governance RACI and escalation model for a production use case.</x:v>
      </x:c>
    </x:row>
    <x:row r="53" ht="62" customHeight="1">
      <x:c r="A53" s="354" t="str">
        <x:v>Q048</x:v>
      </x:c>
      <x:c r="B53" s="355" t="n">
        <x:v>7</x:v>
      </x:c>
      <x:c r="C53" s="355" t="str">
        <x:v>Scenario / Practical</x:v>
      </x:c>
      <x:c r="D53" s="355" t="str"/>
      <x:c r="E53" s="338" t="str">
        <x:v>Alert and contain or disable affected behavior, preserve evidence, identify owner and severity, investigate versions/data/prompts, apply policy control or guardrail changes, test and approve remediation, deploy safely, document decisions and residual risk, notify required stakeholders, and maintain audit evidence.</x:v>
      </x:c>
      <x:c r="F53" s="338" t="str">
        <x:v>4 = comprehensive, ordered, and risk-aware; 3 = adequate and mostly complete; 2 = partial; 1 = minimal; 0 = incorrect.</x:v>
      </x:c>
      <x:c r="G53" s="355" t="n">
        <x:v>4</x:v>
      </x:c>
      <x:c r="H53" s="355" t="n">
        <x:v>3</x:v>
      </x:c>
      <x:c r="I53" s="338" t="str">
        <x:v>Strategic/Institutional</x:v>
      </x:c>
      <x:c r="J53" s="339" t="str">
        <x:v>Run a policy-violation simulation with roles, evidence, remediation, and approval.</x:v>
      </x:c>
    </x:row>
    <x:row r="54" ht="62" customHeight="1">
      <x:c r="A54" s="354" t="str">
        <x:v>Q049</x:v>
      </x:c>
      <x:c r="B54" s="355" t="n">
        <x:v>8</x:v>
      </x:c>
      <x:c r="C54" s="355" t="str">
        <x:v>Multiple Choice</x:v>
      </x:c>
      <x:c r="D54" s="355" t="str">
        <x:v>A</x:v>
      </x:c>
      <x:c r="E54" s="338" t="str">
        <x:v>Token efficiency starts by eliminating unnecessary input and output while protecting required quality.</x:v>
      </x:c>
      <x:c r="F54" s="338" t="str">
        <x:v>1 point for the correct option; 0 otherwise.</x:v>
      </x:c>
      <x:c r="G54" s="355" t="n">
        <x:v>1</x:v>
      </x:c>
      <x:c r="H54" s="355" t="n">
        <x:v>1</x:v>
      </x:c>
      <x:c r="I54" s="338" t="str">
        <x:v>Procedural/Causal</x:v>
      </x:c>
      <x:c r="J54" s="339" t="str">
        <x:v>Profile prompts and reduce tokens while measuring quality.</x:v>
      </x:c>
    </x:row>
    <x:row r="55" ht="62" customHeight="1">
      <x:c r="A55" s="354" t="str">
        <x:v>Q050</x:v>
      </x:c>
      <x:c r="B55" s="355" t="n">
        <x:v>8</x:v>
      </x:c>
      <x:c r="C55" s="355" t="str">
        <x:v>Multiple Choice</x:v>
      </x:c>
      <x:c r="D55" s="355" t="str">
        <x:v>C</x:v>
      </x:c>
      <x:c r="E55" s="338" t="str">
        <x:v>Cache keys and reuse policies must account for permissions, context, freshness, and sensitivity.</x:v>
      </x:c>
      <x:c r="F55" s="338" t="str">
        <x:v>1 point for the correct option; 0 otherwise.</x:v>
      </x:c>
      <x:c r="G55" s="355" t="n">
        <x:v>1</x:v>
      </x:c>
      <x:c r="H55" s="355" t="n">
        <x:v>1</x:v>
      </x:c>
      <x:c r="I55" s="338" t="str">
        <x:v>Causal/Normative</x:v>
      </x:c>
      <x:c r="J55" s="339" t="str">
        <x:v>Test semantic-cache hits across users, permissions, and changing source data.</x:v>
      </x:c>
    </x:row>
    <x:row r="56" ht="62" customHeight="1">
      <x:c r="A56" s="354" t="str">
        <x:v>Q051</x:v>
      </x:c>
      <x:c r="B56" s="355" t="n">
        <x:v>8</x:v>
      </x:c>
      <x:c r="C56" s="355" t="str">
        <x:v>Multiple Choice</x:v>
      </x:c>
      <x:c r="D56" s="355" t="str">
        <x:v>B</x:v>
      </x:c>
      <x:c r="E56" s="338" t="str">
        <x:v>Batching can improve utilization and economics while adding queueing delay.</x:v>
      </x:c>
      <x:c r="F56" s="338" t="str">
        <x:v>1 point for the correct option; 0 otherwise.</x:v>
      </x:c>
      <x:c r="G56" s="355" t="n">
        <x:v>1</x:v>
      </x:c>
      <x:c r="H56" s="355" t="n">
        <x:v>1</x:v>
      </x:c>
      <x:c r="I56" s="338" t="str">
        <x:v>Causal/Conditional</x:v>
      </x:c>
      <x:c r="J56" s="339" t="str">
        <x:v>Benchmark batch size against throughput, cost, and latency.</x:v>
      </x:c>
    </x:row>
    <x:row r="57" ht="62" customHeight="1">
      <x:c r="A57" s="354" t="str">
        <x:v>Q052</x:v>
      </x:c>
      <x:c r="B57" s="355" t="n">
        <x:v>8</x:v>
      </x:c>
      <x:c r="C57" s="355" t="str">
        <x:v>Multiple Choice</x:v>
      </x:c>
      <x:c r="D57" s="355" t="str">
        <x:v>D</x:v>
      </x:c>
      <x:c r="E57" s="338" t="str">
        <x:v>GenAI capacity is driven by token and workload characteristics, not just request count.</x:v>
      </x:c>
      <x:c r="F57" s="338" t="str">
        <x:v>1 point for the correct option; 0 otherwise.</x:v>
      </x:c>
      <x:c r="G57" s="355" t="n">
        <x:v>1</x:v>
      </x:c>
      <x:c r="H57" s="355" t="n">
        <x:v>1</x:v>
      </x:c>
      <x:c r="I57" s="338" t="str">
        <x:v>Conceptual/Causal</x:v>
      </x:c>
      <x:c r="J57" s="339" t="str">
        <x:v>Build a capacity model using tokens, concurrency, queueing, and service limits.</x:v>
      </x:c>
    </x:row>
    <x:row r="58" ht="62" customHeight="1">
      <x:c r="A58" s="354" t="str">
        <x:v>Q053</x:v>
      </x:c>
      <x:c r="B58" s="355" t="n">
        <x:v>8</x:v>
      </x:c>
      <x:c r="C58" s="355" t="str">
        <x:v>Short Response</x:v>
      </x:c>
      <x:c r="D58" s="355" t="str"/>
      <x:c r="E58" s="338" t="str">
        <x:v>Measure client/network and gateway time, preprocessing/query transformation, embedding, retrieval and reranking, prompt assembly, model queue/time-to-first-token/generation, tool calls, post-processing, and downstream writes. Use tracing to identify the critical path.</x:v>
      </x:c>
      <x:c r="F58" s="338" t="str">
        <x:v>2 = covers all essential ideas accurately; 1.5 = accurate with a minor omission; 1 = partial; 0.5 = minimal; 0 = incorrect.</x:v>
      </x:c>
      <x:c r="G58" s="355" t="n">
        <x:v>2</x:v>
      </x:c>
      <x:c r="H58" s="355" t="n">
        <x:v>1.5</x:v>
      </x:c>
      <x:c r="I58" s="338" t="str">
        <x:v>Causal/Diagnostic</x:v>
      </x:c>
      <x:c r="J58" s="339" t="str">
        <x:v>Instrument a RAG request and build a latency waterfall.</x:v>
      </x:c>
    </x:row>
    <x:row r="59" ht="62" customHeight="1">
      <x:c r="A59" s="354" t="str">
        <x:v>Q054</x:v>
      </x:c>
      <x:c r="B59" s="355" t="n">
        <x:v>8</x:v>
      </x:c>
      <x:c r="C59" s="355" t="str">
        <x:v>Scenario / Practical</x:v>
      </x:c>
      <x:c r="D59" s="355" t="str"/>
      <x:c r="E59" s="338" t="str">
        <x:v>Establish quality/cost/latency baselines; profile tokens, retrieval, model and tool stages; test smaller/tiered models, prompt/context reduction, caching with safety rules, batching, routing, retrieval/index tuning, streaming/parallelism, and capacity changes; use A/B evaluation and monitor regressions.</x:v>
      </x:c>
      <x:c r="F59" s="338" t="str">
        <x:v>4 = comprehensive, ordered, and risk-aware; 3 = adequate and mostly complete; 2 = partial; 1 = minimal; 0 = incorrect.</x:v>
      </x:c>
      <x:c r="G59" s="355" t="n">
        <x:v>4</x:v>
      </x:c>
      <x:c r="H59" s="355" t="n">
        <x:v>3</x:v>
      </x:c>
      <x:c r="I59" s="338" t="str">
        <x:v>Strategic/Causal</x:v>
      </x:c>
      <x:c r="J59" s="339" t="str">
        <x:v>Run a controlled optimization exercise with a fixed quality threshold.</x:v>
      </x:c>
    </x:row>
    <x:row r="60" ht="62" customHeight="1">
      <x:c r="A60" s="354" t="str">
        <x:v>Q055</x:v>
      </x:c>
      <x:c r="B60" s="355" t="n">
        <x:v>9</x:v>
      </x:c>
      <x:c r="C60" s="355" t="str">
        <x:v>Multiple Choice</x:v>
      </x:c>
      <x:c r="D60" s="355" t="str">
        <x:v>A</x:v>
      </x:c>
      <x:c r="E60" s="338" t="str">
        <x:v>Separating retrieval from generation metrics isolates the defective stage.</x:v>
      </x:c>
      <x:c r="F60" s="338" t="str">
        <x:v>1 point for the correct option; 0 otherwise.</x:v>
      </x:c>
      <x:c r="G60" s="355" t="n">
        <x:v>1</x:v>
      </x:c>
      <x:c r="H60" s="355" t="n">
        <x:v>1</x:v>
      </x:c>
      <x:c r="I60" s="338" t="str">
        <x:v>Causal/Diagnostic</x:v>
      </x:c>
      <x:c r="J60" s="339" t="str">
        <x:v>Build separate retrieval and answer-quality evaluations for the same golden queries.</x:v>
      </x:c>
    </x:row>
    <x:row r="61" ht="62" customHeight="1">
      <x:c r="A61" s="354" t="str">
        <x:v>Q056</x:v>
      </x:c>
      <x:c r="B61" s="355" t="n">
        <x:v>9</x:v>
      </x:c>
      <x:c r="C61" s="355" t="str">
        <x:v>Multiple Choice</x:v>
      </x:c>
      <x:c r="D61" s="355" t="str">
        <x:v>C</x:v>
      </x:c>
      <x:c r="E61" s="338" t="str">
        <x:v>LLM judges require calibration, clear rubrics, and checks against human evidence.</x:v>
      </x:c>
      <x:c r="F61" s="338" t="str">
        <x:v>1 point for the correct option; 0 otherwise.</x:v>
      </x:c>
      <x:c r="G61" s="355" t="n">
        <x:v>1</x:v>
      </x:c>
      <x:c r="H61" s="355" t="n">
        <x:v>1</x:v>
      </x:c>
      <x:c r="I61" s="338" t="str">
        <x:v>Conditional/Normative</x:v>
      </x:c>
      <x:c r="J61" s="339" t="str">
        <x:v>Compare judge and human ratings and analyze disagreement.</x:v>
      </x:c>
    </x:row>
    <x:row r="62" ht="62" customHeight="1">
      <x:c r="A62" s="354" t="str">
        <x:v>Q057</x:v>
      </x:c>
      <x:c r="B62" s="355" t="n">
        <x:v>9</x:v>
      </x:c>
      <x:c r="C62" s="355" t="str">
        <x:v>Multiple Choice</x:v>
      </x:c>
      <x:c r="D62" s="355" t="str">
        <x:v>B</x:v>
      </x:c>
      <x:c r="E62" s="338" t="str">
        <x:v>Canaries limit exposure while collecting production evidence for promotion or rollback.</x:v>
      </x:c>
      <x:c r="F62" s="338" t="str">
        <x:v>1 point for the correct option; 0 otherwise.</x:v>
      </x:c>
      <x:c r="G62" s="355" t="n">
        <x:v>1</x:v>
      </x:c>
      <x:c r="H62" s="355" t="n">
        <x:v>1</x:v>
      </x:c>
      <x:c r="I62" s="338" t="str">
        <x:v>Procedural/Strategic</x:v>
      </x:c>
      <x:c r="J62" s="339" t="str">
        <x:v>Design a canary with quality, safety, latency, and rollback thresholds.</x:v>
      </x:c>
    </x:row>
    <x:row r="63" ht="62" customHeight="1">
      <x:c r="A63" s="354" t="str">
        <x:v>Q058</x:v>
      </x:c>
      <x:c r="B63" s="355" t="n">
        <x:v>9</x:v>
      </x:c>
      <x:c r="C63" s="355" t="str">
        <x:v>Multiple Choice</x:v>
      </x:c>
      <x:c r="D63" s="355" t="str">
        <x:v>D</x:v>
      </x:c>
      <x:c r="E63" s="338" t="str">
        <x:v>End-to-end correlated observability is needed to diagnose distributed GenAI behavior.</x:v>
      </x:c>
      <x:c r="F63" s="338" t="str">
        <x:v>1 point for the correct option; 0 otherwise.</x:v>
      </x:c>
      <x:c r="G63" s="355" t="n">
        <x:v>1</x:v>
      </x:c>
      <x:c r="H63" s="355" t="n">
        <x:v>1</x:v>
      </x:c>
      <x:c r="I63" s="338" t="str">
        <x:v>Procedural/Embedded</x:v>
      </x:c>
      <x:c r="J63" s="339" t="str">
        <x:v>Instrument a request with correlation IDs, metrics, logs, and traces across all stages.</x:v>
      </x:c>
    </x:row>
    <x:row r="64" ht="62" customHeight="1">
      <x:c r="A64" s="354" t="str">
        <x:v>Q059</x:v>
      </x:c>
      <x:c r="B64" s="355" t="n">
        <x:v>9</x:v>
      </x:c>
      <x:c r="C64" s="355" t="str">
        <x:v>Short Response</x:v>
      </x:c>
      <x:c r="D64" s="355" t="str"/>
      <x:c r="E64" s="338" t="str">
        <x:v>Continuous evaluation repeatedly measures representative quality, safety, cost, and performance as components and data change. Regression tests compare against baselines, and deployment gates prevent promotion when defined thresholds fail; production feedback and drift trigger reevaluation.</x:v>
      </x:c>
      <x:c r="F64" s="338" t="str">
        <x:v>2 = covers all essential ideas accurately; 1.5 = accurate with a minor omission; 1 = partial; 0.5 = minimal; 0 = incorrect.</x:v>
      </x:c>
      <x:c r="G64" s="355" t="n">
        <x:v>2</x:v>
      </x:c>
      <x:c r="H64" s="355" t="n">
        <x:v>1.5</x:v>
      </x:c>
      <x:c r="I64" s="338" t="str">
        <x:v>Conceptual/Strategic</x:v>
      </x:c>
      <x:c r="J64" s="339" t="str">
        <x:v>Implement a continuous evaluation workflow with a blocking quality gate.</x:v>
      </x:c>
    </x:row>
    <x:row r="65" ht="62" customHeight="1">
      <x:c r="A65" s="356" t="str">
        <x:v>Q060</x:v>
      </x:c>
      <x:c r="B65" s="357" t="n">
        <x:v>9</x:v>
      </x:c>
      <x:c r="C65" s="357" t="str">
        <x:v>Scenario / Practical</x:v>
      </x:c>
      <x:c r="D65" s="357" t="str"/>
      <x:c r="E65" s="341" t="str">
        <x:v>Contain or roll back if thresholds are breached; compare versions/configuration; reproduce with golden queries; trace retrieval, prompt/context, model parameters/routing, tools, caching, and token/latency metrics; identify the first divergence; change one variable; validate the fix; add regression tests, monitoring, and a postmortem.</x:v>
      </x:c>
      <x:c r="F65" s="341" t="str">
        <x:v>4 = comprehensive, ordered, and risk-aware; 3 = adequate and mostly complete; 2 = partial; 1 = minimal; 0 = incorrect.</x:v>
      </x:c>
      <x:c r="G65" s="357" t="n">
        <x:v>4</x:v>
      </x:c>
      <x:c r="H65" s="357" t="n">
        <x:v>3</x:v>
      </x:c>
      <x:c r="I65" s="341" t="str">
        <x:v>Causal/Diagnostic</x:v>
      </x:c>
      <x:c r="J65" s="342" t="str">
        <x:v>Complete a full incident postmortem using traces, version diffs, and a regression test.</x:v>
      </x:c>
    </x:row>
  </x:sheetData>
  <x:mergeCells>
    <x:mergeCell ref="A1:J1"/>
    <x:mergeCell ref="A2:J3"/>
  </x:mergeCells>
  <x:pageMargins left="0.7" right="0.7" top="0.75" bottom="0.75" header="0.3" footer="0.3"/>
  <x:tableParts count="1">
    <x:tablePart xmlns:r="http://schemas.openxmlformats.org/officeDocument/2006/relationships" r:id="R33d0d30b853e4293"/>
  </x:tableParts>
</x:worksheet>
</file>

<file path=xl/worksheets/sheet9.xml><?xml version="1.0" encoding="utf-8"?>
<x:worksheet xmlns:x="http://schemas.openxmlformats.org/spreadsheetml/2006/main">
  <x:sheetFormatPr defaultRowHeight="15"/>
  <x:cols>
    <x:col min="1" max="1" width="10" hidden="0" customWidth="1"/>
    <x:col min="2" max="2" width="42" hidden="0" customWidth="1"/>
    <x:col min="3" max="3" width="7" hidden="0" customWidth="1"/>
    <x:col min="4" max="4" width="35" hidden="0" customWidth="1"/>
    <x:col min="5" max="5" width="22" hidden="0" customWidth="1"/>
    <x:col min="6" max="6" width="23" hidden="0" customWidth="1"/>
    <x:col min="7" max="7" width="13" hidden="0" customWidth="1"/>
    <x:col min="8" max="8" width="15" hidden="0" customWidth="1"/>
    <x:col min="9" max="9" width="24" hidden="0" customWidth="1"/>
    <x:col min="10" max="10" width="19" hidden="0" customWidth="1"/>
    <x:col min="11" max="11" width="16" hidden="0" customWidth="1"/>
    <x:col min="12" max="12" width="11" hidden="0" customWidth="1"/>
    <x:col min="13" max="13" width="24" hidden="0" customWidth="1"/>
    <x:col min="14" max="14" width="44" hidden="0" customWidth="1"/>
    <x:col min="15" max="15" width="15" hidden="0" customWidth="1"/>
    <x:col min="16" max="16" width="14" hidden="0" customWidth="1"/>
    <x:col min="17" max="17" width="45" hidden="0" customWidth="1"/>
    <x:col min="18" max="18" width="28" hidden="0" customWidth="1"/>
    <x:col min="19" max="19" width="30" hidden="0" customWidth="1"/>
  </x:cols>
  <x:sheetData>
    <x:row r="1" ht="30" customHeight="1">
      <x:c r="A1" s="324" t="str">
        <x:v>AIP-C01 Learner Progress Tracker</x:v>
      </x:c>
      <x:c r="B1" s="324"/>
      <x:c r="C1" s="324"/>
      <x:c r="D1" s="324"/>
      <x:c r="E1" s="324"/>
      <x:c r="F1" s="324"/>
      <x:c r="G1" s="324"/>
      <x:c r="H1" s="324"/>
      <x:c r="I1" s="324"/>
      <x:c r="J1" s="324"/>
      <x:c r="K1" s="324"/>
      <x:c r="L1" s="324"/>
      <x:c r="M1" s="324"/>
      <x:c r="N1" s="324"/>
      <x:c r="O1" s="324"/>
      <x:c r="P1" s="324"/>
      <x:c r="Q1" s="324"/>
      <x:c r="R1" s="324"/>
      <x:c r="S1" s="324"/>
    </x:row>
    <x:row r="2" ht="34" customHeight="1">
      <x:c r="A2" s="328" t="str">
        <x:v>Use one row per curriculum topic. Diagnostic Status is calculated from the initial questionnaire where a topic was sampled. Update Current Proficiency, Learning Status, assessment evidence, remediation, and review dates as the learner progresses.</x:v>
      </x:c>
      <x:c r="B2" s="328"/>
      <x:c r="C2" s="328"/>
      <x:c r="D2" s="328"/>
      <x:c r="E2" s="328"/>
      <x:c r="F2" s="328"/>
      <x:c r="G2" s="328"/>
      <x:c r="H2" s="328"/>
      <x:c r="I2" s="328"/>
      <x:c r="J2" s="328"/>
      <x:c r="K2" s="328"/>
      <x:c r="L2" s="328"/>
      <x:c r="M2" s="328"/>
      <x:c r="N2" s="328"/>
      <x:c r="O2" s="328"/>
      <x:c r="P2" s="328"/>
      <x:c r="Q2" s="328"/>
      <x:c r="R2" s="328"/>
      <x:c r="S2" s="328"/>
    </x:row>
    <x:row r="3" ht="34" customHeight="1">
      <x:c r="A3" s="328"/>
      <x:c r="B3" s="328"/>
      <x:c r="C3" s="328"/>
      <x:c r="D3" s="328"/>
      <x:c r="E3" s="328"/>
      <x:c r="F3" s="328"/>
      <x:c r="G3" s="328"/>
      <x:c r="H3" s="328"/>
      <x:c r="I3" s="328"/>
      <x:c r="J3" s="328"/>
      <x:c r="K3" s="328"/>
      <x:c r="L3" s="328"/>
      <x:c r="M3" s="328"/>
      <x:c r="N3" s="328"/>
      <x:c r="O3" s="328"/>
      <x:c r="P3" s="328"/>
      <x:c r="Q3" s="328"/>
      <x:c r="R3" s="328"/>
      <x:c r="S3" s="328"/>
    </x:row>
    <x:row r="5" ht="42" customHeight="1">
      <x:c r="A5" s="333" t="str">
        <x:v>Topic Index</x:v>
      </x:c>
      <x:c r="B5" s="333" t="str">
        <x:v>Topic Name</x:v>
      </x:c>
      <x:c r="C5" s="333" t="str">
        <x:v>Phase</x:v>
      </x:c>
      <x:c r="D5" s="333" t="str">
        <x:v>Learning Layer</x:v>
      </x:c>
      <x:c r="E5" s="333" t="str">
        <x:v>Hard Prerequisites</x:v>
      </x:c>
      <x:c r="F5" s="333" t="str">
        <x:v>Required Proficiency</x:v>
      </x:c>
      <x:c r="G5" s="333" t="str">
        <x:v>Mastery Gate</x:v>
      </x:c>
      <x:c r="H5" s="333" t="str">
        <x:v>Diagnostic Status</x:v>
      </x:c>
      <x:c r="I5" s="333" t="str">
        <x:v>Current Proficiency</x:v>
      </x:c>
      <x:c r="J5" s="333" t="str">
        <x:v>Learning Status</x:v>
      </x:c>
      <x:c r="K5" s="333" t="str">
        <x:v>Last Assessment Score</x:v>
      </x:c>
      <x:c r="L5" s="333" t="str">
        <x:v>Confidence</x:v>
      </x:c>
      <x:c r="M5" s="333" t="str">
        <x:v>Gap Type</x:v>
      </x:c>
      <x:c r="N5" s="333" t="str">
        <x:v>Remediation / Next Activity</x:v>
      </x:c>
      <x:c r="O5" s="333" t="str">
        <x:v>Gate Passed</x:v>
      </x:c>
      <x:c r="P5" s="333" t="str">
        <x:v>Next Review Date</x:v>
      </x:c>
      <x:c r="Q5" s="333" t="str">
        <x:v>Evidence / Notes</x:v>
      </x:c>
      <x:c r="R5" s="333" t="str">
        <x:v>Blocked Indicator</x:v>
      </x:c>
      <x:c r="S5" s="333" t="str">
        <x:v>Next Action</x:v>
      </x:c>
    </x:row>
    <x:row r="6" ht="38" customHeight="1">
      <x:c r="A6" s="352" t="n">
        <x:v>1</x:v>
      </x:c>
      <x:c r="B6" s="335" t="str">
        <x:v>Foundation models and GenAI fundamentals</x:v>
      </x:c>
      <x:c r="C6" s="353" t="n">
        <x:v>0</x:v>
      </x:c>
      <x:c r="D6" s="335" t="str">
        <x:v>Layer 0 — GenAI and AWS foundations</x:v>
      </x:c>
      <x:c r="E6" s="335" t="str"/>
      <x:c r="F6" s="335" t="str">
        <x:v>Level 2 — Explain</x:v>
      </x:c>
      <x:c r="G6" s="335" t="str">
        <x:v>Hard</x:v>
      </x:c>
      <x:c r="H6" s="353" t="str">
        <x:f>IF(COUNTIF('Initial Diagnostic'!$D$6:$D$65,A6)=0,"Not assessed",IF(COUNTIFS('Initial Diagnostic'!$D$6:$D$65,A6,'Initial Diagnostic'!$P$6:$P$65,"Gap")&gt;0,"Gap",IF(COUNTIFS('Initial Diagnostic'!$D$6:$D$65,A6,'Initial Diagnostic'!$P$6:$P$65,"Pass")&gt;0,"Passed","Not scored")))</x:f>
        <x:v>Not scored</x:v>
      </x:c>
      <x:c r="I6" s="358" t="str"/>
      <x:c r="J6" s="358" t="str">
        <x:v>Not Started</x:v>
      </x:c>
      <x:c r="K6" s="358" t="str"/>
      <x:c r="L6" s="358" t="str"/>
      <x:c r="M6" s="358" t="str"/>
      <x:c r="N6" s="358" t="str"/>
      <x:c r="O6" s="353" t="str">
        <x:f>IF(OR(J6="Passed",J6="Mastered"),"Yes",IF(G6="Soft","Not required yet","No"))</x:f>
        <x:v>No</x:v>
      </x:c>
      <x:c r="P6" s="370" t="str"/>
      <x:c r="Q6" s="343" t="str"/>
      <x:c r="R6" s="335" t="str">
        <x:f>IF(AND(G6="Hard",O6&lt;&gt;"Yes"),"Potentially blocks dependent topics","")</x:f>
        <x:v>Potentially blocks dependent topics</x:v>
      </x:c>
      <x:c r="S6" s="336" t="str">
        <x:f>IF(J6="Mastered","Spaced review",IF(J6="Passed","Proceed to next eligible topic",IF(J6="Remediation","Complete targeted remediation",IF(H6="Gap","Start assigned learning method",IF(H6="Passed","Confirm with topic-level assessment","Not yet assessed")))))</x:f>
        <x:v>Not yet assessed</x:v>
      </x:c>
    </x:row>
    <x:row r="7" ht="38" customHeight="1">
      <x:c r="A7" s="354" t="n">
        <x:v>2</x:v>
      </x:c>
      <x:c r="B7" s="338" t="str">
        <x:v>Tokens, context windows, inference, temperature, top-k, and top-p</x:v>
      </x:c>
      <x:c r="C7" s="355" t="n">
        <x:v>0</x:v>
      </x:c>
      <x:c r="D7" s="338" t="str">
        <x:v>Layer 0 — GenAI and AWS foundations</x:v>
      </x:c>
      <x:c r="E7" s="338" t="str">
        <x:v>1</x:v>
      </x:c>
      <x:c r="F7" s="338" t="str">
        <x:v>Level 2 — Explain</x:v>
      </x:c>
      <x:c r="G7" s="338" t="str">
        <x:v>Hard</x:v>
      </x:c>
      <x:c r="H7" s="355" t="str">
        <x:f>IF(COUNTIF('Initial Diagnostic'!$D$6:$D$65,A7)=0,"Not assessed",IF(COUNTIFS('Initial Diagnostic'!$D$6:$D$65,A7,'Initial Diagnostic'!$P$6:$P$65,"Gap")&gt;0,"Gap",IF(COUNTIFS('Initial Diagnostic'!$D$6:$D$65,A7,'Initial Diagnostic'!$P$6:$P$65,"Pass")&gt;0,"Passed","Not scored")))</x:f>
        <x:v>Not scored</x:v>
      </x:c>
      <x:c r="I7" s="360" t="str"/>
      <x:c r="J7" s="360" t="str">
        <x:v>Not Started</x:v>
      </x:c>
      <x:c r="K7" s="360" t="str"/>
      <x:c r="L7" s="360" t="str"/>
      <x:c r="M7" s="360" t="str"/>
      <x:c r="N7" s="360" t="str"/>
      <x:c r="O7" s="355" t="str">
        <x:f>IF(OR(J7="Passed",J7="Mastered"),"Yes",IF(G7="Soft","Not required yet","No"))</x:f>
        <x:v>No</x:v>
      </x:c>
      <x:c r="P7" s="371" t="str"/>
      <x:c r="Q7" s="344" t="str"/>
      <x:c r="R7" s="338" t="str">
        <x:f>IF(AND(G7="Hard",O7&lt;&gt;"Yes"),"Potentially blocks dependent topics","")</x:f>
        <x:v>Potentially blocks dependent topics</x:v>
      </x:c>
      <x:c r="S7" s="339" t="str">
        <x:f>IF(J7="Mastered","Spaced review",IF(J7="Passed","Proceed to next eligible topic",IF(J7="Remediation","Complete targeted remediation",IF(H7="Gap","Start assigned learning method",IF(H7="Passed","Confirm with topic-level assessment","Not yet assessed")))))</x:f>
        <x:v>Not yet assessed</x:v>
      </x:c>
    </x:row>
    <x:row r="8" ht="38" customHeight="1">
      <x:c r="A8" s="354" t="n">
        <x:v>3</x:v>
      </x:c>
      <x:c r="B8" s="338" t="str">
        <x:v>AWS GenAI service landscape: Bedrock, SageMaker AI, Lambda, API Gateway, Step Functions, SQS, EventBridge, S3, DynamoDB, OpenSearch, CloudWatch, X-Ray, IAM</x:v>
      </x:c>
      <x:c r="C8" s="355" t="n">
        <x:v>0</x:v>
      </x:c>
      <x:c r="D8" s="338" t="str">
        <x:v>Layer 0 — GenAI and AWS foundations</x:v>
      </x:c>
      <x:c r="E8" s="338" t="str">
        <x:v>1</x:v>
      </x:c>
      <x:c r="F8" s="338" t="str">
        <x:v>Level 2 — Explain</x:v>
      </x:c>
      <x:c r="G8" s="338" t="str">
        <x:v>Hard</x:v>
      </x:c>
      <x:c r="H8" s="355" t="str">
        <x:f>IF(COUNTIF('Initial Diagnostic'!$D$6:$D$65,A8)=0,"Not assessed",IF(COUNTIFS('Initial Diagnostic'!$D$6:$D$65,A8,'Initial Diagnostic'!$P$6:$P$65,"Gap")&gt;0,"Gap",IF(COUNTIFS('Initial Diagnostic'!$D$6:$D$65,A8,'Initial Diagnostic'!$P$6:$P$65,"Pass")&gt;0,"Passed","Not scored")))</x:f>
        <x:v>Not scored</x:v>
      </x:c>
      <x:c r="I8" s="360" t="str"/>
      <x:c r="J8" s="360" t="str">
        <x:v>Not Started</x:v>
      </x:c>
      <x:c r="K8" s="360" t="str"/>
      <x:c r="L8" s="360" t="str"/>
      <x:c r="M8" s="360" t="str"/>
      <x:c r="N8" s="360" t="str"/>
      <x:c r="O8" s="355" t="str">
        <x:f>IF(OR(J8="Passed",J8="Mastered"),"Yes",IF(G8="Soft","Not required yet","No"))</x:f>
        <x:v>No</x:v>
      </x:c>
      <x:c r="P8" s="371" t="str"/>
      <x:c r="Q8" s="344" t="str"/>
      <x:c r="R8" s="338" t="str">
        <x:f>IF(AND(G8="Hard",O8&lt;&gt;"Yes"),"Potentially blocks dependent topics","")</x:f>
        <x:v>Potentially blocks dependent topics</x:v>
      </x:c>
      <x:c r="S8" s="339" t="str">
        <x:f>IF(J8="Mastered","Spaced review",IF(J8="Passed","Proceed to next eligible topic",IF(J8="Remediation","Complete targeted remediation",IF(H8="Gap","Start assigned learning method",IF(H8="Passed","Confirm with topic-level assessment","Not yet assessed")))))</x:f>
        <x:v>Not yet assessed</x:v>
      </x:c>
    </x:row>
    <x:row r="9" ht="38" customHeight="1">
      <x:c r="A9" s="354" t="n">
        <x:v>4</x:v>
      </x:c>
      <x:c r="B9" s="338" t="str">
        <x:v>API, event-driven, serverless, container, and workflow fundamentals</x:v>
      </x:c>
      <x:c r="C9" s="355" t="n">
        <x:v>0</x:v>
      </x:c>
      <x:c r="D9" s="338" t="str">
        <x:v>Layer 0 — GenAI and AWS foundations</x:v>
      </x:c>
      <x:c r="E9" s="338" t="str">
        <x:v>3</x:v>
      </x:c>
      <x:c r="F9" s="338" t="str">
        <x:v>Level 2 — Explain</x:v>
      </x:c>
      <x:c r="G9" s="338" t="str">
        <x:v>Hard</x:v>
      </x:c>
      <x:c r="H9" s="355" t="str">
        <x:f>IF(COUNTIF('Initial Diagnostic'!$D$6:$D$65,A9)=0,"Not assessed",IF(COUNTIFS('Initial Diagnostic'!$D$6:$D$65,A9,'Initial Diagnostic'!$P$6:$P$65,"Gap")&gt;0,"Gap",IF(COUNTIFS('Initial Diagnostic'!$D$6:$D$65,A9,'Initial Diagnostic'!$P$6:$P$65,"Pass")&gt;0,"Passed","Not scored")))</x:f>
        <x:v>Not scored</x:v>
      </x:c>
      <x:c r="I9" s="360" t="str"/>
      <x:c r="J9" s="360" t="str">
        <x:v>Not Started</x:v>
      </x:c>
      <x:c r="K9" s="360" t="str"/>
      <x:c r="L9" s="360" t="str"/>
      <x:c r="M9" s="360" t="str"/>
      <x:c r="N9" s="360" t="str"/>
      <x:c r="O9" s="355" t="str">
        <x:f>IF(OR(J9="Passed",J9="Mastered"),"Yes",IF(G9="Soft","Not required yet","No"))</x:f>
        <x:v>No</x:v>
      </x:c>
      <x:c r="P9" s="371" t="str"/>
      <x:c r="Q9" s="344" t="str"/>
      <x:c r="R9" s="338" t="str">
        <x:f>IF(AND(G9="Hard",O9&lt;&gt;"Yes"),"Potentially blocks dependent topics","")</x:f>
        <x:v>Potentially blocks dependent topics</x:v>
      </x:c>
      <x:c r="S9" s="339" t="str">
        <x:f>IF(J9="Mastered","Spaced review",IF(J9="Passed","Proceed to next eligible topic",IF(J9="Remediation","Complete targeted remediation",IF(H9="Gap","Start assigned learning method",IF(H9="Passed","Confirm with topic-level assessment","Not yet assessed")))))</x:f>
        <x:v>Not yet assessed</x:v>
      </x:c>
    </x:row>
    <x:row r="10" ht="38" customHeight="1">
      <x:c r="A10" s="354" t="n">
        <x:v>5</x:v>
      </x:c>
      <x:c r="B10" s="338" t="str">
        <x:v>IAM, trust boundaries, least privilege, networking, and data-protection fundamentals</x:v>
      </x:c>
      <x:c r="C10" s="355" t="n">
        <x:v>0</x:v>
      </x:c>
      <x:c r="D10" s="338" t="str">
        <x:v>Layer 0 — GenAI and AWS foundations</x:v>
      </x:c>
      <x:c r="E10" s="338" t="str">
        <x:v>3, 4</x:v>
      </x:c>
      <x:c r="F10" s="338" t="str">
        <x:v>Level 4 — Select/Diagnose</x:v>
      </x:c>
      <x:c r="G10" s="338" t="str">
        <x:v>Hard</x:v>
      </x:c>
      <x:c r="H10" s="355" t="str">
        <x:f>IF(COUNTIF('Initial Diagnostic'!$D$6:$D$65,A10)=0,"Not assessed",IF(COUNTIFS('Initial Diagnostic'!$D$6:$D$65,A10,'Initial Diagnostic'!$P$6:$P$65,"Gap")&gt;0,"Gap",IF(COUNTIFS('Initial Diagnostic'!$D$6:$D$65,A10,'Initial Diagnostic'!$P$6:$P$65,"Pass")&gt;0,"Passed","Not scored")))</x:f>
        <x:v>Not scored</x:v>
      </x:c>
      <x:c r="I10" s="360" t="str"/>
      <x:c r="J10" s="360" t="str">
        <x:v>Not Started</x:v>
      </x:c>
      <x:c r="K10" s="360" t="str"/>
      <x:c r="L10" s="360" t="str"/>
      <x:c r="M10" s="360" t="str"/>
      <x:c r="N10" s="360" t="str"/>
      <x:c r="O10" s="355" t="str">
        <x:f>IF(OR(J10="Passed",J10="Mastered"),"Yes",IF(G10="Soft","Not required yet","No"))</x:f>
        <x:v>No</x:v>
      </x:c>
      <x:c r="P10" s="371" t="str"/>
      <x:c r="Q10" s="344" t="str"/>
      <x:c r="R10" s="338" t="str">
        <x:f>IF(AND(G10="Hard",O10&lt;&gt;"Yes"),"Potentially blocks dependent topics","")</x:f>
        <x:v>Potentially blocks dependent topics</x:v>
      </x:c>
      <x:c r="S10" s="339" t="str">
        <x:f>IF(J10="Mastered","Spaced review",IF(J10="Passed","Proceed to next eligible topic",IF(J10="Remediation","Complete targeted remediation",IF(H10="Gap","Start assigned learning method",IF(H10="Passed","Confirm with topic-level assessment","Not yet assessed")))))</x:f>
        <x:v>Not yet assessed</x:v>
      </x:c>
    </x:row>
    <x:row r="11" ht="38" customHeight="1">
      <x:c r="A11" s="354" t="n">
        <x:v>6</x:v>
      </x:c>
      <x:c r="B11" s="338" t="str">
        <x:v>GenAI requirements analysis and basic solution architecture</x:v>
      </x:c>
      <x:c r="C11" s="355" t="n">
        <x:v>0</x:v>
      </x:c>
      <x:c r="D11" s="338" t="str">
        <x:v>Layer 0 — GenAI and AWS foundations</x:v>
      </x:c>
      <x:c r="E11" s="338" t="str">
        <x:v>1, 3, 4, 5</x:v>
      </x:c>
      <x:c r="F11" s="338" t="str">
        <x:v>Level 4 — Select/Diagnose</x:v>
      </x:c>
      <x:c r="G11" s="338" t="str">
        <x:v>Hard</x:v>
      </x:c>
      <x:c r="H11" s="355" t="str">
        <x:f>IF(COUNTIF('Initial Diagnostic'!$D$6:$D$65,A11)=0,"Not assessed",IF(COUNTIFS('Initial Diagnostic'!$D$6:$D$65,A11,'Initial Diagnostic'!$P$6:$P$65,"Gap")&gt;0,"Gap",IF(COUNTIFS('Initial Diagnostic'!$D$6:$D$65,A11,'Initial Diagnostic'!$P$6:$P$65,"Pass")&gt;0,"Passed","Not scored")))</x:f>
        <x:v>Not scored</x:v>
      </x:c>
      <x:c r="I11" s="360" t="str"/>
      <x:c r="J11" s="360" t="str">
        <x:v>Not Started</x:v>
      </x:c>
      <x:c r="K11" s="360" t="str"/>
      <x:c r="L11" s="360" t="str"/>
      <x:c r="M11" s="360" t="str"/>
      <x:c r="N11" s="360" t="str"/>
      <x:c r="O11" s="355" t="str">
        <x:f>IF(OR(J11="Passed",J11="Mastered"),"Yes",IF(G11="Soft","Not required yet","No"))</x:f>
        <x:v>No</x:v>
      </x:c>
      <x:c r="P11" s="371" t="str"/>
      <x:c r="Q11" s="344" t="str"/>
      <x:c r="R11" s="338" t="str">
        <x:f>IF(AND(G11="Hard",O11&lt;&gt;"Yes"),"Potentially blocks dependent topics","")</x:f>
        <x:v>Potentially blocks dependent topics</x:v>
      </x:c>
      <x:c r="S11" s="339" t="str">
        <x:f>IF(J11="Mastered","Spaced review",IF(J11="Passed","Proceed to next eligible topic",IF(J11="Remediation","Complete targeted remediation",IF(H11="Gap","Start assigned learning method",IF(H11="Passed","Confirm with topic-level assessment","Not yet assessed")))))</x:f>
        <x:v>Not yet assessed</x:v>
      </x:c>
    </x:row>
    <x:row r="12" ht="38" customHeight="1">
      <x:c r="A12" s="354" t="n">
        <x:v>7</x:v>
      </x:c>
      <x:c r="B12" s="338" t="str">
        <x:v>Foundation-model capabilities, limitations, and basic model selection</x:v>
      </x:c>
      <x:c r="C12" s="355" t="n">
        <x:v>0</x:v>
      </x:c>
      <x:c r="D12" s="338" t="str">
        <x:v>Layer 0 — GenAI and AWS foundations</x:v>
      </x:c>
      <x:c r="E12" s="338" t="str">
        <x:v>1, 2, 6</x:v>
      </x:c>
      <x:c r="F12" s="338" t="str">
        <x:v>Level 4 — Select/Diagnose</x:v>
      </x:c>
      <x:c r="G12" s="338" t="str">
        <x:v>Hard</x:v>
      </x:c>
      <x:c r="H12" s="355" t="str">
        <x:f>IF(COUNTIF('Initial Diagnostic'!$D$6:$D$65,A12)=0,"Not assessed",IF(COUNTIFS('Initial Diagnostic'!$D$6:$D$65,A12,'Initial Diagnostic'!$P$6:$P$65,"Gap")&gt;0,"Gap",IF(COUNTIFS('Initial Diagnostic'!$D$6:$D$65,A12,'Initial Diagnostic'!$P$6:$P$65,"Pass")&gt;0,"Passed","Not scored")))</x:f>
        <x:v>Not assessed</x:v>
      </x:c>
      <x:c r="I12" s="360" t="str"/>
      <x:c r="J12" s="360" t="str">
        <x:v>Not Started</x:v>
      </x:c>
      <x:c r="K12" s="360" t="str"/>
      <x:c r="L12" s="360" t="str"/>
      <x:c r="M12" s="360" t="str"/>
      <x:c r="N12" s="360" t="str"/>
      <x:c r="O12" s="355" t="str">
        <x:f>IF(OR(J12="Passed",J12="Mastered"),"Yes",IF(G12="Soft","Not required yet","No"))</x:f>
        <x:v>No</x:v>
      </x:c>
      <x:c r="P12" s="371" t="str"/>
      <x:c r="Q12" s="344" t="str"/>
      <x:c r="R12" s="338" t="str">
        <x:f>IF(AND(G12="Hard",O12&lt;&gt;"Yes"),"Potentially blocks dependent topics","")</x:f>
        <x:v>Potentially blocks dependent topics</x:v>
      </x:c>
      <x:c r="S12" s="339" t="str">
        <x:f>IF(J12="Mastered","Spaced review",IF(J12="Passed","Proceed to next eligible topic",IF(J12="Remediation","Complete targeted remediation",IF(H12="Gap","Start assigned learning method",IF(H12="Passed","Confirm with topic-level assessment","Not yet assessed")))))</x:f>
        <x:v>Not yet assessed</x:v>
      </x:c>
    </x:row>
    <x:row r="13" ht="38" customHeight="1">
      <x:c r="A13" s="354" t="n">
        <x:v>8</x:v>
      </x:c>
      <x:c r="B13" s="338" t="str">
        <x:v>Basic Amazon Bedrock model invocation</x:v>
      </x:c>
      <x:c r="C13" s="355" t="n">
        <x:v>0</x:v>
      </x:c>
      <x:c r="D13" s="338" t="str">
        <x:v>Layer 0 — GenAI and AWS foundations</x:v>
      </x:c>
      <x:c r="E13" s="338" t="str">
        <x:v>3, 5, 7</x:v>
      </x:c>
      <x:c r="F13" s="338" t="str">
        <x:v>Level 3 — Apply/Implement</x:v>
      </x:c>
      <x:c r="G13" s="338" t="str">
        <x:v>Hard</x:v>
      </x:c>
      <x:c r="H13" s="355" t="str">
        <x:f>IF(COUNTIF('Initial Diagnostic'!$D$6:$D$65,A13)=0,"Not assessed",IF(COUNTIFS('Initial Diagnostic'!$D$6:$D$65,A13,'Initial Diagnostic'!$P$6:$P$65,"Gap")&gt;0,"Gap",IF(COUNTIFS('Initial Diagnostic'!$D$6:$D$65,A13,'Initial Diagnostic'!$P$6:$P$65,"Pass")&gt;0,"Passed","Not scored")))</x:f>
        <x:v>Not assessed</x:v>
      </x:c>
      <x:c r="I13" s="360" t="str"/>
      <x:c r="J13" s="360" t="str">
        <x:v>Not Started</x:v>
      </x:c>
      <x:c r="K13" s="360" t="str"/>
      <x:c r="L13" s="360" t="str"/>
      <x:c r="M13" s="360" t="str"/>
      <x:c r="N13" s="360" t="str"/>
      <x:c r="O13" s="355" t="str">
        <x:f>IF(OR(J13="Passed",J13="Mastered"),"Yes",IF(G13="Soft","Not required yet","No"))</x:f>
        <x:v>No</x:v>
      </x:c>
      <x:c r="P13" s="371" t="str"/>
      <x:c r="Q13" s="344" t="str"/>
      <x:c r="R13" s="338" t="str">
        <x:f>IF(AND(G13="Hard",O13&lt;&gt;"Yes"),"Potentially blocks dependent topics","")</x:f>
        <x:v>Potentially blocks dependent topics</x:v>
      </x:c>
      <x:c r="S13" s="339" t="str">
        <x:f>IF(J13="Mastered","Spaced review",IF(J13="Passed","Proceed to next eligible topic",IF(J13="Remediation","Complete targeted remediation",IF(H13="Gap","Start assigned learning method",IF(H13="Passed","Confirm with topic-level assessment","Not yet assessed")))))</x:f>
        <x:v>Not yet assessed</x:v>
      </x:c>
    </x:row>
    <x:row r="14" ht="38" customHeight="1">
      <x:c r="A14" s="354" t="n">
        <x:v>9</x:v>
      </x:c>
      <x:c r="B14" s="338" t="str">
        <x:v>Prompt fundamentals, instructions, templates, and structured outputs</x:v>
      </x:c>
      <x:c r="C14" s="355" t="n">
        <x:v>0</x:v>
      </x:c>
      <x:c r="D14" s="338" t="str">
        <x:v>Layer 0 — GenAI and AWS foundations</x:v>
      </x:c>
      <x:c r="E14" s="338" t="str">
        <x:v>2, 8</x:v>
      </x:c>
      <x:c r="F14" s="338" t="str">
        <x:v>Level 3 — Apply/Implement</x:v>
      </x:c>
      <x:c r="G14" s="338" t="str">
        <x:v>Hard</x:v>
      </x:c>
      <x:c r="H14" s="355" t="str">
        <x:f>IF(COUNTIF('Initial Diagnostic'!$D$6:$D$65,A14)=0,"Not assessed",IF(COUNTIFS('Initial Diagnostic'!$D$6:$D$65,A14,'Initial Diagnostic'!$P$6:$P$65,"Gap")&gt;0,"Gap",IF(COUNTIFS('Initial Diagnostic'!$D$6:$D$65,A14,'Initial Diagnostic'!$P$6:$P$65,"Pass")&gt;0,"Passed","Not scored")))</x:f>
        <x:v>Not assessed</x:v>
      </x:c>
      <x:c r="I14" s="360" t="str"/>
      <x:c r="J14" s="360" t="str">
        <x:v>Not Started</x:v>
      </x:c>
      <x:c r="K14" s="360" t="str"/>
      <x:c r="L14" s="360" t="str"/>
      <x:c r="M14" s="360" t="str"/>
      <x:c r="N14" s="360" t="str"/>
      <x:c r="O14" s="355" t="str">
        <x:f>IF(OR(J14="Passed",J14="Mastered"),"Yes",IF(G14="Soft","Not required yet","No"))</x:f>
        <x:v>No</x:v>
      </x:c>
      <x:c r="P14" s="371" t="str"/>
      <x:c r="Q14" s="344" t="str"/>
      <x:c r="R14" s="338" t="str">
        <x:f>IF(AND(G14="Hard",O14&lt;&gt;"Yes"),"Potentially blocks dependent topics","")</x:f>
        <x:v>Potentially blocks dependent topics</x:v>
      </x:c>
      <x:c r="S14" s="339" t="str">
        <x:f>IF(J14="Mastered","Spaced review",IF(J14="Passed","Proceed to next eligible topic",IF(J14="Remediation","Complete targeted remediation",IF(H14="Gap","Start assigned learning method",IF(H14="Passed","Confirm with topic-level assessment","Not yet assessed")))))</x:f>
        <x:v>Not yet assessed</x:v>
      </x:c>
    </x:row>
    <x:row r="15" ht="38" customHeight="1">
      <x:c r="A15" s="354" t="n">
        <x:v>10</x:v>
      </x:c>
      <x:c r="B15" s="338" t="str">
        <x:v>Basic GenAI evaluation concepts and golden datasets</x:v>
      </x:c>
      <x:c r="C15" s="355" t="n">
        <x:v>0</x:v>
      </x:c>
      <x:c r="D15" s="338" t="str">
        <x:v>Layer 0 — GenAI and AWS foundations</x:v>
      </x:c>
      <x:c r="E15" s="338" t="str">
        <x:v>8, 9</x:v>
      </x:c>
      <x:c r="F15" s="338" t="str">
        <x:v>Level 4 — Select/Diagnose</x:v>
      </x:c>
      <x:c r="G15" s="338" t="str">
        <x:v>Hard</x:v>
      </x:c>
      <x:c r="H15" s="355" t="str">
        <x:f>IF(COUNTIF('Initial Diagnostic'!$D$6:$D$65,A15)=0,"Not assessed",IF(COUNTIFS('Initial Diagnostic'!$D$6:$D$65,A15,'Initial Diagnostic'!$P$6:$P$65,"Gap")&gt;0,"Gap",IF(COUNTIFS('Initial Diagnostic'!$D$6:$D$65,A15,'Initial Diagnostic'!$P$6:$P$65,"Pass")&gt;0,"Passed","Not scored")))</x:f>
        <x:v>Not assessed</x:v>
      </x:c>
      <x:c r="I15" s="360" t="str"/>
      <x:c r="J15" s="360" t="str">
        <x:v>Not Started</x:v>
      </x:c>
      <x:c r="K15" s="360" t="str"/>
      <x:c r="L15" s="360" t="str"/>
      <x:c r="M15" s="360" t="str"/>
      <x:c r="N15" s="360" t="str"/>
      <x:c r="O15" s="355" t="str">
        <x:f>IF(OR(J15="Passed",J15="Mastered"),"Yes",IF(G15="Soft","Not required yet","No"))</x:f>
        <x:v>No</x:v>
      </x:c>
      <x:c r="P15" s="371" t="str"/>
      <x:c r="Q15" s="344" t="str"/>
      <x:c r="R15" s="338" t="str">
        <x:f>IF(AND(G15="Hard",O15&lt;&gt;"Yes"),"Potentially blocks dependent topics","")</x:f>
        <x:v>Potentially blocks dependent topics</x:v>
      </x:c>
      <x:c r="S15" s="339" t="str">
        <x:f>IF(J15="Mastered","Spaced review",IF(J15="Passed","Proceed to next eligible topic",IF(J15="Remediation","Complete targeted remediation",IF(H15="Gap","Start assigned learning method",IF(H15="Passed","Confirm with topic-level assessment","Not yet assessed")))))</x:f>
        <x:v>Not yet assessed</x:v>
      </x:c>
    </x:row>
    <x:row r="16" ht="38" customHeight="1">
      <x:c r="A16" s="354" t="n">
        <x:v>11</x:v>
      </x:c>
      <x:c r="B16" s="338" t="str">
        <x:v>Data-quality validation and monitoring</x:v>
      </x:c>
      <x:c r="C16" s="355" t="n">
        <x:v>1</x:v>
      </x:c>
      <x:c r="D16" s="338" t="str">
        <x:v>Layer 1 — Data and RAG foundations</x:v>
      </x:c>
      <x:c r="E16" s="338" t="str">
        <x:v>3, 5</x:v>
      </x:c>
      <x:c r="F16" s="338" t="str">
        <x:v>Level 3 — Apply/Implement</x:v>
      </x:c>
      <x:c r="G16" s="338" t="str">
        <x:v>Hard</x:v>
      </x:c>
      <x:c r="H16" s="355" t="str">
        <x:f>IF(COUNTIF('Initial Diagnostic'!$D$6:$D$65,A16)=0,"Not assessed",IF(COUNTIFS('Initial Diagnostic'!$D$6:$D$65,A16,'Initial Diagnostic'!$P$6:$P$65,"Gap")&gt;0,"Gap",IF(COUNTIFS('Initial Diagnostic'!$D$6:$D$65,A16,'Initial Diagnostic'!$P$6:$P$65,"Pass")&gt;0,"Passed","Not scored")))</x:f>
        <x:v>Not scored</x:v>
      </x:c>
      <x:c r="I16" s="360" t="str"/>
      <x:c r="J16" s="360" t="str">
        <x:v>Not Started</x:v>
      </x:c>
      <x:c r="K16" s="360" t="str"/>
      <x:c r="L16" s="360" t="str"/>
      <x:c r="M16" s="360" t="str"/>
      <x:c r="N16" s="360" t="str"/>
      <x:c r="O16" s="355" t="str">
        <x:f>IF(OR(J16="Passed",J16="Mastered"),"Yes",IF(G16="Soft","Not required yet","No"))</x:f>
        <x:v>No</x:v>
      </x:c>
      <x:c r="P16" s="371" t="str"/>
      <x:c r="Q16" s="344" t="str"/>
      <x:c r="R16" s="338" t="str">
        <x:f>IF(AND(G16="Hard",O16&lt;&gt;"Yes"),"Potentially blocks dependent topics","")</x:f>
        <x:v>Potentially blocks dependent topics</x:v>
      </x:c>
      <x:c r="S16" s="339" t="str">
        <x:f>IF(J16="Mastered","Spaced review",IF(J16="Passed","Proceed to next eligible topic",IF(J16="Remediation","Complete targeted remediation",IF(H16="Gap","Start assigned learning method",IF(H16="Passed","Confirm with topic-level assessment","Not yet assessed")))))</x:f>
        <x:v>Not yet assessed</x:v>
      </x:c>
    </x:row>
    <x:row r="17" ht="38" customHeight="1">
      <x:c r="A17" s="354" t="n">
        <x:v>12</x:v>
      </x:c>
      <x:c r="B17" s="338" t="str">
        <x:v>Text, image, audio, and tabular-data preprocessing</x:v>
      </x:c>
      <x:c r="C17" s="355" t="n">
        <x:v>1</x:v>
      </x:c>
      <x:c r="D17" s="338" t="str">
        <x:v>Layer 1 — Data and RAG foundations</x:v>
      </x:c>
      <x:c r="E17" s="338" t="str">
        <x:v>11</x:v>
      </x:c>
      <x:c r="F17" s="338" t="str">
        <x:v>Level 3 — Apply/Implement</x:v>
      </x:c>
      <x:c r="G17" s="338" t="str">
        <x:v>Soft</x:v>
      </x:c>
      <x:c r="H17" s="355" t="str">
        <x:f>IF(COUNTIF('Initial Diagnostic'!$D$6:$D$65,A17)=0,"Not assessed",IF(COUNTIFS('Initial Diagnostic'!$D$6:$D$65,A17,'Initial Diagnostic'!$P$6:$P$65,"Gap")&gt;0,"Gap",IF(COUNTIFS('Initial Diagnostic'!$D$6:$D$65,A17,'Initial Diagnostic'!$P$6:$P$65,"Pass")&gt;0,"Passed","Not scored")))</x:f>
        <x:v>Not assessed</x:v>
      </x:c>
      <x:c r="I17" s="360" t="str"/>
      <x:c r="J17" s="360" t="str">
        <x:v>Not Started</x:v>
      </x:c>
      <x:c r="K17" s="360" t="str"/>
      <x:c r="L17" s="360" t="str"/>
      <x:c r="M17" s="360" t="str"/>
      <x:c r="N17" s="360" t="str"/>
      <x:c r="O17" s="355" t="str">
        <x:f>IF(OR(J17="Passed",J17="Mastered"),"Yes",IF(G17="Soft","Not required yet","No"))</x:f>
        <x:v>Not required yet</x:v>
      </x:c>
      <x:c r="P17" s="371" t="str"/>
      <x:c r="Q17" s="344" t="str"/>
      <x:c r="R17" s="338" t="str">
        <x:f>IF(AND(G17="Hard",O17&lt;&gt;"Yes"),"Potentially blocks dependent topics","")</x:f>
      </x:c>
      <x:c r="S17" s="339" t="str">
        <x:f>IF(J17="Mastered","Spaced review",IF(J17="Passed","Proceed to next eligible topic",IF(J17="Remediation","Complete targeted remediation",IF(H17="Gap","Start assigned learning method",IF(H17="Passed","Confirm with topic-level assessment","Not yet assessed")))))</x:f>
        <x:v>Not yet assessed</x:v>
      </x:c>
    </x:row>
    <x:row r="18" ht="38" customHeight="1">
      <x:c r="A18" s="354" t="n">
        <x:v>13</x:v>
      </x:c>
      <x:c r="B18" s="338" t="str">
        <x:v>Model-specific input formatting and data normalization</x:v>
      </x:c>
      <x:c r="C18" s="355" t="n">
        <x:v>1</x:v>
      </x:c>
      <x:c r="D18" s="338" t="str">
        <x:v>Layer 1 — Data and RAG foundations</x:v>
      </x:c>
      <x:c r="E18" s="338" t="str">
        <x:v>8, 11, 12</x:v>
      </x:c>
      <x:c r="F18" s="338" t="str">
        <x:v>Level 3 — Apply/Implement</x:v>
      </x:c>
      <x:c r="G18" s="338" t="str">
        <x:v>Hard</x:v>
      </x:c>
      <x:c r="H18" s="355" t="str">
        <x:f>IF(COUNTIF('Initial Diagnostic'!$D$6:$D$65,A18)=0,"Not assessed",IF(COUNTIFS('Initial Diagnostic'!$D$6:$D$65,A18,'Initial Diagnostic'!$P$6:$P$65,"Gap")&gt;0,"Gap",IF(COUNTIFS('Initial Diagnostic'!$D$6:$D$65,A18,'Initial Diagnostic'!$P$6:$P$65,"Pass")&gt;0,"Passed","Not scored")))</x:f>
        <x:v>Not assessed</x:v>
      </x:c>
      <x:c r="I18" s="360" t="str"/>
      <x:c r="J18" s="360" t="str">
        <x:v>Not Started</x:v>
      </x:c>
      <x:c r="K18" s="360" t="str"/>
      <x:c r="L18" s="360" t="str"/>
      <x:c r="M18" s="360" t="str"/>
      <x:c r="N18" s="360" t="str"/>
      <x:c r="O18" s="355" t="str">
        <x:f>IF(OR(J18="Passed",J18="Mastered"),"Yes",IF(G18="Soft","Not required yet","No"))</x:f>
        <x:v>No</x:v>
      </x:c>
      <x:c r="P18" s="371" t="str"/>
      <x:c r="Q18" s="344" t="str"/>
      <x:c r="R18" s="338" t="str">
        <x:f>IF(AND(G18="Hard",O18&lt;&gt;"Yes"),"Potentially blocks dependent topics","")</x:f>
        <x:v>Potentially blocks dependent topics</x:v>
      </x:c>
      <x:c r="S18" s="339" t="str">
        <x:f>IF(J18="Mastered","Spaced review",IF(J18="Passed","Proceed to next eligible topic",IF(J18="Remediation","Complete targeted remediation",IF(H18="Gap","Start assigned learning method",IF(H18="Passed","Confirm with topic-level assessment","Not yet assessed")))))</x:f>
        <x:v>Not yet assessed</x:v>
      </x:c>
    </x:row>
    <x:row r="19" ht="38" customHeight="1">
      <x:c r="A19" s="354" t="n">
        <x:v>14</x:v>
      </x:c>
      <x:c r="B19" s="338" t="str">
        <x:v>Embeddings and vector-similarity fundamentals</x:v>
      </x:c>
      <x:c r="C19" s="355" t="n">
        <x:v>1</x:v>
      </x:c>
      <x:c r="D19" s="338" t="str">
        <x:v>Layer 1 — Data and RAG foundations</x:v>
      </x:c>
      <x:c r="E19" s="338" t="str">
        <x:v>1, 2</x:v>
      </x:c>
      <x:c r="F19" s="338" t="str">
        <x:v>Level 2 — Explain</x:v>
      </x:c>
      <x:c r="G19" s="338" t="str">
        <x:v>Hard</x:v>
      </x:c>
      <x:c r="H19" s="355" t="str">
        <x:f>IF(COUNTIF('Initial Diagnostic'!$D$6:$D$65,A19)=0,"Not assessed",IF(COUNTIFS('Initial Diagnostic'!$D$6:$D$65,A19,'Initial Diagnostic'!$P$6:$P$65,"Gap")&gt;0,"Gap",IF(COUNTIFS('Initial Diagnostic'!$D$6:$D$65,A19,'Initial Diagnostic'!$P$6:$P$65,"Pass")&gt;0,"Passed","Not scored")))</x:f>
        <x:v>Not scored</x:v>
      </x:c>
      <x:c r="I19" s="360" t="str"/>
      <x:c r="J19" s="360" t="str">
        <x:v>Not Started</x:v>
      </x:c>
      <x:c r="K19" s="360" t="str"/>
      <x:c r="L19" s="360" t="str"/>
      <x:c r="M19" s="360" t="str"/>
      <x:c r="N19" s="360" t="str"/>
      <x:c r="O19" s="355" t="str">
        <x:f>IF(OR(J19="Passed",J19="Mastered"),"Yes",IF(G19="Soft","Not required yet","No"))</x:f>
        <x:v>No</x:v>
      </x:c>
      <x:c r="P19" s="371" t="str"/>
      <x:c r="Q19" s="344" t="str"/>
      <x:c r="R19" s="338" t="str">
        <x:f>IF(AND(G19="Hard",O19&lt;&gt;"Yes"),"Potentially blocks dependent topics","")</x:f>
        <x:v>Potentially blocks dependent topics</x:v>
      </x:c>
      <x:c r="S19" s="339" t="str">
        <x:f>IF(J19="Mastered","Spaced review",IF(J19="Passed","Proceed to next eligible topic",IF(J19="Remediation","Complete targeted remediation",IF(H19="Gap","Start assigned learning method",IF(H19="Passed","Confirm with topic-level assessment","Not yet assessed")))))</x:f>
        <x:v>Not yet assessed</x:v>
      </x:c>
    </x:row>
    <x:row r="20" ht="38" customHeight="1">
      <x:c r="A20" s="354" t="n">
        <x:v>15</x:v>
      </x:c>
      <x:c r="B20" s="338" t="str">
        <x:v>Document chunking and segmentation</x:v>
      </x:c>
      <x:c r="C20" s="355" t="n">
        <x:v>1</x:v>
      </x:c>
      <x:c r="D20" s="338" t="str">
        <x:v>Layer 1 — Data and RAG foundations</x:v>
      </x:c>
      <x:c r="E20" s="338" t="str">
        <x:v>14</x:v>
      </x:c>
      <x:c r="F20" s="338" t="str">
        <x:v>Level 3 — Apply/Implement</x:v>
      </x:c>
      <x:c r="G20" s="338" t="str">
        <x:v>Hard</x:v>
      </x:c>
      <x:c r="H20" s="355" t="str">
        <x:f>IF(COUNTIF('Initial Diagnostic'!$D$6:$D$65,A20)=0,"Not assessed",IF(COUNTIFS('Initial Diagnostic'!$D$6:$D$65,A20,'Initial Diagnostic'!$P$6:$P$65,"Gap")&gt;0,"Gap",IF(COUNTIFS('Initial Diagnostic'!$D$6:$D$65,A20,'Initial Diagnostic'!$P$6:$P$65,"Pass")&gt;0,"Passed","Not scored")))</x:f>
        <x:v>Not scored</x:v>
      </x:c>
      <x:c r="I20" s="360" t="str"/>
      <x:c r="J20" s="360" t="str">
        <x:v>Not Started</x:v>
      </x:c>
      <x:c r="K20" s="360" t="str"/>
      <x:c r="L20" s="360" t="str"/>
      <x:c r="M20" s="360" t="str"/>
      <x:c r="N20" s="360" t="str"/>
      <x:c r="O20" s="355" t="str">
        <x:f>IF(OR(J20="Passed",J20="Mastered"),"Yes",IF(G20="Soft","Not required yet","No"))</x:f>
        <x:v>No</x:v>
      </x:c>
      <x:c r="P20" s="371" t="str"/>
      <x:c r="Q20" s="344" t="str"/>
      <x:c r="R20" s="338" t="str">
        <x:f>IF(AND(G20="Hard",O20&lt;&gt;"Yes"),"Potentially blocks dependent topics","")</x:f>
        <x:v>Potentially blocks dependent topics</x:v>
      </x:c>
      <x:c r="S20" s="339" t="str">
        <x:f>IF(J20="Mastered","Spaced review",IF(J20="Passed","Proceed to next eligible topic",IF(J20="Remediation","Complete targeted remediation",IF(H20="Gap","Start assigned learning method",IF(H20="Passed","Confirm with topic-level assessment","Not yet assessed")))))</x:f>
        <x:v>Not yet assessed</x:v>
      </x:c>
    </x:row>
    <x:row r="21" ht="38" customHeight="1">
      <x:c r="A21" s="354" t="n">
        <x:v>16</x:v>
      </x:c>
      <x:c r="B21" s="338" t="str">
        <x:v>Metadata design and filtering</x:v>
      </x:c>
      <x:c r="C21" s="355" t="n">
        <x:v>1</x:v>
      </x:c>
      <x:c r="D21" s="338" t="str">
        <x:v>Layer 1 — Data and RAG foundations</x:v>
      </x:c>
      <x:c r="E21" s="338" t="str">
        <x:v>11, 15</x:v>
      </x:c>
      <x:c r="F21" s="338" t="str">
        <x:v>Level 3 — Apply/Implement</x:v>
      </x:c>
      <x:c r="G21" s="338" t="str">
        <x:v>Hard</x:v>
      </x:c>
      <x:c r="H21" s="355" t="str">
        <x:f>IF(COUNTIF('Initial Diagnostic'!$D$6:$D$65,A21)=0,"Not assessed",IF(COUNTIFS('Initial Diagnostic'!$D$6:$D$65,A21,'Initial Diagnostic'!$P$6:$P$65,"Gap")&gt;0,"Gap",IF(COUNTIFS('Initial Diagnostic'!$D$6:$D$65,A21,'Initial Diagnostic'!$P$6:$P$65,"Pass")&gt;0,"Passed","Not scored")))</x:f>
        <x:v>Not assessed</x:v>
      </x:c>
      <x:c r="I21" s="360" t="str"/>
      <x:c r="J21" s="360" t="str">
        <x:v>Not Started</x:v>
      </x:c>
      <x:c r="K21" s="360" t="str"/>
      <x:c r="L21" s="360" t="str"/>
      <x:c r="M21" s="360" t="str"/>
      <x:c r="N21" s="360" t="str"/>
      <x:c r="O21" s="355" t="str">
        <x:f>IF(OR(J21="Passed",J21="Mastered"),"Yes",IF(G21="Soft","Not required yet","No"))</x:f>
        <x:v>No</x:v>
      </x:c>
      <x:c r="P21" s="371" t="str"/>
      <x:c r="Q21" s="344" t="str"/>
      <x:c r="R21" s="338" t="str">
        <x:f>IF(AND(G21="Hard",O21&lt;&gt;"Yes"),"Potentially blocks dependent topics","")</x:f>
        <x:v>Potentially blocks dependent topics</x:v>
      </x:c>
      <x:c r="S21" s="339" t="str">
        <x:f>IF(J21="Mastered","Spaced review",IF(J21="Passed","Proceed to next eligible topic",IF(J21="Remediation","Complete targeted remediation",IF(H21="Gap","Start assigned learning method",IF(H21="Passed","Confirm with topic-level assessment","Not yet assessed")))))</x:f>
        <x:v>Not yet assessed</x:v>
      </x:c>
    </x:row>
    <x:row r="22" ht="38" customHeight="1">
      <x:c r="A22" s="354" t="n">
        <x:v>17</x:v>
      </x:c>
      <x:c r="B22" s="338" t="str">
        <x:v>Vector-store technologies and architecture</x:v>
      </x:c>
      <x:c r="C22" s="355" t="n">
        <x:v>1</x:v>
      </x:c>
      <x:c r="D22" s="338" t="str">
        <x:v>Layer 1 — Data and RAG foundations</x:v>
      </x:c>
      <x:c r="E22" s="338" t="str">
        <x:v>3, 14, 16</x:v>
      </x:c>
      <x:c r="F22" s="338" t="str">
        <x:v>Level 4 — Select/Diagnose</x:v>
      </x:c>
      <x:c r="G22" s="338" t="str">
        <x:v>Hard</x:v>
      </x:c>
      <x:c r="H22" s="355" t="str">
        <x:f>IF(COUNTIF('Initial Diagnostic'!$D$6:$D$65,A22)=0,"Not assessed",IF(COUNTIFS('Initial Diagnostic'!$D$6:$D$65,A22,'Initial Diagnostic'!$P$6:$P$65,"Gap")&gt;0,"Gap",IF(COUNTIFS('Initial Diagnostic'!$D$6:$D$65,A22,'Initial Diagnostic'!$P$6:$P$65,"Pass")&gt;0,"Passed","Not scored")))</x:f>
        <x:v>Not assessed</x:v>
      </x:c>
      <x:c r="I22" s="360" t="str"/>
      <x:c r="J22" s="360" t="str">
        <x:v>Not Started</x:v>
      </x:c>
      <x:c r="K22" s="360" t="str"/>
      <x:c r="L22" s="360" t="str"/>
      <x:c r="M22" s="360" t="str"/>
      <x:c r="N22" s="360" t="str"/>
      <x:c r="O22" s="355" t="str">
        <x:f>IF(OR(J22="Passed",J22="Mastered"),"Yes",IF(G22="Soft","Not required yet","No"))</x:f>
        <x:v>No</x:v>
      </x:c>
      <x:c r="P22" s="371" t="str"/>
      <x:c r="Q22" s="344" t="str"/>
      <x:c r="R22" s="338" t="str">
        <x:f>IF(AND(G22="Hard",O22&lt;&gt;"Yes"),"Potentially blocks dependent topics","")</x:f>
        <x:v>Potentially blocks dependent topics</x:v>
      </x:c>
      <x:c r="S22" s="339" t="str">
        <x:f>IF(J22="Mastered","Spaced review",IF(J22="Passed","Proceed to next eligible topic",IF(J22="Remediation","Complete targeted remediation",IF(H22="Gap","Start assigned learning method",IF(H22="Passed","Confirm with topic-level assessment","Not yet assessed")))))</x:f>
        <x:v>Not yet assessed</x:v>
      </x:c>
    </x:row>
    <x:row r="23" ht="38" customHeight="1">
      <x:c r="A23" s="354" t="n">
        <x:v>18</x:v>
      </x:c>
      <x:c r="B23" s="338" t="str">
        <x:v>Vector indexing, sharding, scaling, and performance</x:v>
      </x:c>
      <x:c r="C23" s="355" t="n">
        <x:v>1</x:v>
      </x:c>
      <x:c r="D23" s="338" t="str">
        <x:v>Layer 1 — Data and RAG foundations</x:v>
      </x:c>
      <x:c r="E23" s="338" t="str">
        <x:v>17</x:v>
      </x:c>
      <x:c r="F23" s="338" t="str">
        <x:v>Level 4 — Select/Diagnose</x:v>
      </x:c>
      <x:c r="G23" s="338" t="str">
        <x:v>Hard</x:v>
      </x:c>
      <x:c r="H23" s="355" t="str">
        <x:f>IF(COUNTIF('Initial Diagnostic'!$D$6:$D$65,A23)=0,"Not assessed",IF(COUNTIFS('Initial Diagnostic'!$D$6:$D$65,A23,'Initial Diagnostic'!$P$6:$P$65,"Gap")&gt;0,"Gap",IF(COUNTIFS('Initial Diagnostic'!$D$6:$D$65,A23,'Initial Diagnostic'!$P$6:$P$65,"Pass")&gt;0,"Passed","Not scored")))</x:f>
        <x:v>Not assessed</x:v>
      </x:c>
      <x:c r="I23" s="360" t="str"/>
      <x:c r="J23" s="360" t="str">
        <x:v>Not Started</x:v>
      </x:c>
      <x:c r="K23" s="360" t="str"/>
      <x:c r="L23" s="360" t="str"/>
      <x:c r="M23" s="360" t="str"/>
      <x:c r="N23" s="360" t="str"/>
      <x:c r="O23" s="355" t="str">
        <x:f>IF(OR(J23="Passed",J23="Mastered"),"Yes",IF(G23="Soft","Not required yet","No"))</x:f>
        <x:v>No</x:v>
      </x:c>
      <x:c r="P23" s="371" t="str"/>
      <x:c r="Q23" s="344" t="str"/>
      <x:c r="R23" s="338" t="str">
        <x:f>IF(AND(G23="Hard",O23&lt;&gt;"Yes"),"Potentially blocks dependent topics","")</x:f>
        <x:v>Potentially blocks dependent topics</x:v>
      </x:c>
      <x:c r="S23" s="339" t="str">
        <x:f>IF(J23="Mastered","Spaced review",IF(J23="Passed","Proceed to next eligible topic",IF(J23="Remediation","Complete targeted remediation",IF(H23="Gap","Start assigned learning method",IF(H23="Passed","Confirm with topic-level assessment","Not yet assessed")))))</x:f>
        <x:v>Not yet assessed</x:v>
      </x:c>
    </x:row>
    <x:row r="24" ht="38" customHeight="1">
      <x:c r="A24" s="354" t="n">
        <x:v>19</x:v>
      </x:c>
      <x:c r="B24" s="338" t="str">
        <x:v>Basic semantic retrieval</x:v>
      </x:c>
      <x:c r="C24" s="355" t="n">
        <x:v>1</x:v>
      </x:c>
      <x:c r="D24" s="338" t="str">
        <x:v>Layer 1 — Data and RAG foundations</x:v>
      </x:c>
      <x:c r="E24" s="338" t="str">
        <x:v>17, 18</x:v>
      </x:c>
      <x:c r="F24" s="338" t="str">
        <x:v>Level 3 — Apply/Implement</x:v>
      </x:c>
      <x:c r="G24" s="338" t="str">
        <x:v>Hard</x:v>
      </x:c>
      <x:c r="H24" s="355" t="str">
        <x:f>IF(COUNTIF('Initial Diagnostic'!$D$6:$D$65,A24)=0,"Not assessed",IF(COUNTIFS('Initial Diagnostic'!$D$6:$D$65,A24,'Initial Diagnostic'!$P$6:$P$65,"Gap")&gt;0,"Gap",IF(COUNTIFS('Initial Diagnostic'!$D$6:$D$65,A24,'Initial Diagnostic'!$P$6:$P$65,"Pass")&gt;0,"Passed","Not scored")))</x:f>
        <x:v>Not assessed</x:v>
      </x:c>
      <x:c r="I24" s="360" t="str"/>
      <x:c r="J24" s="360" t="str">
        <x:v>Not Started</x:v>
      </x:c>
      <x:c r="K24" s="360" t="str"/>
      <x:c r="L24" s="360" t="str"/>
      <x:c r="M24" s="360" t="str"/>
      <x:c r="N24" s="360" t="str"/>
      <x:c r="O24" s="355" t="str">
        <x:f>IF(OR(J24="Passed",J24="Mastered"),"Yes",IF(G24="Soft","Not required yet","No"))</x:f>
        <x:v>No</x:v>
      </x:c>
      <x:c r="P24" s="371" t="str"/>
      <x:c r="Q24" s="344" t="str"/>
      <x:c r="R24" s="338" t="str">
        <x:f>IF(AND(G24="Hard",O24&lt;&gt;"Yes"),"Potentially blocks dependent topics","")</x:f>
        <x:v>Potentially blocks dependent topics</x:v>
      </x:c>
      <x:c r="S24" s="339" t="str">
        <x:f>IF(J24="Mastered","Spaced review",IF(J24="Passed","Proceed to next eligible topic",IF(J24="Remediation","Complete targeted remediation",IF(H24="Gap","Start assigned learning method",IF(H24="Passed","Confirm with topic-level assessment","Not yet assessed")))))</x:f>
        <x:v>Not yet assessed</x:v>
      </x:c>
    </x:row>
    <x:row r="25" ht="38" customHeight="1">
      <x:c r="A25" s="354" t="n">
        <x:v>20</x:v>
      </x:c>
      <x:c r="B25" s="338" t="str">
        <x:v>Basic Retrieval-Augmented Generation</x:v>
      </x:c>
      <x:c r="C25" s="355" t="n">
        <x:v>1</x:v>
      </x:c>
      <x:c r="D25" s="338" t="str">
        <x:v>Layer 1 — Data and RAG foundations</x:v>
      </x:c>
      <x:c r="E25" s="338" t="str">
        <x:v>8, 9, 10, 13, 15, 19</x:v>
      </x:c>
      <x:c r="F25" s="338" t="str">
        <x:v>Level 3 — Apply/Implement</x:v>
      </x:c>
      <x:c r="G25" s="338" t="str">
        <x:v>Hard</x:v>
      </x:c>
      <x:c r="H25" s="355" t="str">
        <x:f>IF(COUNTIF('Initial Diagnostic'!$D$6:$D$65,A25)=0,"Not assessed",IF(COUNTIFS('Initial Diagnostic'!$D$6:$D$65,A25,'Initial Diagnostic'!$P$6:$P$65,"Gap")&gt;0,"Gap",IF(COUNTIFS('Initial Diagnostic'!$D$6:$D$65,A25,'Initial Diagnostic'!$P$6:$P$65,"Pass")&gt;0,"Passed","Not scored")))</x:f>
        <x:v>Not scored</x:v>
      </x:c>
      <x:c r="I25" s="360" t="str"/>
      <x:c r="J25" s="360" t="str">
        <x:v>Not Started</x:v>
      </x:c>
      <x:c r="K25" s="360" t="str"/>
      <x:c r="L25" s="360" t="str"/>
      <x:c r="M25" s="360" t="str"/>
      <x:c r="N25" s="360" t="str"/>
      <x:c r="O25" s="355" t="str">
        <x:f>IF(OR(J25="Passed",J25="Mastered"),"Yes",IF(G25="Soft","Not required yet","No"))</x:f>
        <x:v>No</x:v>
      </x:c>
      <x:c r="P25" s="371" t="str"/>
      <x:c r="Q25" s="344" t="str"/>
      <x:c r="R25" s="338" t="str">
        <x:f>IF(AND(G25="Hard",O25&lt;&gt;"Yes"),"Potentially blocks dependent topics","")</x:f>
        <x:v>Potentially blocks dependent topics</x:v>
      </x:c>
      <x:c r="S25" s="339" t="str">
        <x:f>IF(J25="Mastered","Spaced review",IF(J25="Passed","Proceed to next eligible topic",IF(J25="Remediation","Complete targeted remediation",IF(H25="Gap","Start assigned learning method",IF(H25="Passed","Confirm with topic-level assessment","Not yet assessed")))))</x:f>
        <x:v>Not yet assessed</x:v>
      </x:c>
    </x:row>
    <x:row r="26" ht="38" customHeight="1">
      <x:c r="A26" s="354" t="n">
        <x:v>21</x:v>
      </x:c>
      <x:c r="B26" s="338" t="str">
        <x:v>Hybrid search and custom scoring</x:v>
      </x:c>
      <x:c r="C26" s="355" t="n">
        <x:v>1</x:v>
      </x:c>
      <x:c r="D26" s="338" t="str">
        <x:v>Layer 1 — Data and RAG foundations</x:v>
      </x:c>
      <x:c r="E26" s="338" t="str">
        <x:v>19, 20</x:v>
      </x:c>
      <x:c r="F26" s="338" t="str">
        <x:v>Level 4 — Select/Diagnose</x:v>
      </x:c>
      <x:c r="G26" s="338" t="str">
        <x:v>Hard</x:v>
      </x:c>
      <x:c r="H26" s="355" t="str">
        <x:f>IF(COUNTIF('Initial Diagnostic'!$D$6:$D$65,A26)=0,"Not assessed",IF(COUNTIFS('Initial Diagnostic'!$D$6:$D$65,A26,'Initial Diagnostic'!$P$6:$P$65,"Gap")&gt;0,"Gap",IF(COUNTIFS('Initial Diagnostic'!$D$6:$D$65,A26,'Initial Diagnostic'!$P$6:$P$65,"Pass")&gt;0,"Passed","Not scored")))</x:f>
        <x:v>Not scored</x:v>
      </x:c>
      <x:c r="I26" s="360" t="str"/>
      <x:c r="J26" s="360" t="str">
        <x:v>Not Started</x:v>
      </x:c>
      <x:c r="K26" s="360" t="str"/>
      <x:c r="L26" s="360" t="str"/>
      <x:c r="M26" s="360" t="str"/>
      <x:c r="N26" s="360" t="str"/>
      <x:c r="O26" s="355" t="str">
        <x:f>IF(OR(J26="Passed",J26="Mastered"),"Yes",IF(G26="Soft","Not required yet","No"))</x:f>
        <x:v>No</x:v>
      </x:c>
      <x:c r="P26" s="371" t="str"/>
      <x:c r="Q26" s="344" t="str"/>
      <x:c r="R26" s="338" t="str">
        <x:f>IF(AND(G26="Hard",O26&lt;&gt;"Yes"),"Potentially blocks dependent topics","")</x:f>
        <x:v>Potentially blocks dependent topics</x:v>
      </x:c>
      <x:c r="S26" s="339" t="str">
        <x:f>IF(J26="Mastered","Spaced review",IF(J26="Passed","Proceed to next eligible topic",IF(J26="Remediation","Complete targeted remediation",IF(H26="Gap","Start assigned learning method",IF(H26="Passed","Confirm with topic-level assessment","Not yet assessed")))))</x:f>
        <x:v>Not yet assessed</x:v>
      </x:c>
    </x:row>
    <x:row r="27" ht="38" customHeight="1">
      <x:c r="A27" s="354" t="n">
        <x:v>22</x:v>
      </x:c>
      <x:c r="B27" s="338" t="str">
        <x:v>Reranking</x:v>
      </x:c>
      <x:c r="C27" s="355" t="n">
        <x:v>1</x:v>
      </x:c>
      <x:c r="D27" s="338" t="str">
        <x:v>Layer 1 — Data and RAG foundations</x:v>
      </x:c>
      <x:c r="E27" s="338" t="str">
        <x:v>21</x:v>
      </x:c>
      <x:c r="F27" s="338" t="str">
        <x:v>Level 3 — Apply/Implement</x:v>
      </x:c>
      <x:c r="G27" s="338" t="str">
        <x:v>Soft</x:v>
      </x:c>
      <x:c r="H27" s="355" t="str">
        <x:f>IF(COUNTIF('Initial Diagnostic'!$D$6:$D$65,A27)=0,"Not assessed",IF(COUNTIFS('Initial Diagnostic'!$D$6:$D$65,A27,'Initial Diagnostic'!$P$6:$P$65,"Gap")&gt;0,"Gap",IF(COUNTIFS('Initial Diagnostic'!$D$6:$D$65,A27,'Initial Diagnostic'!$P$6:$P$65,"Pass")&gt;0,"Passed","Not scored")))</x:f>
        <x:v>Not assessed</x:v>
      </x:c>
      <x:c r="I27" s="360" t="str"/>
      <x:c r="J27" s="360" t="str">
        <x:v>Not Started</x:v>
      </x:c>
      <x:c r="K27" s="360" t="str"/>
      <x:c r="L27" s="360" t="str"/>
      <x:c r="M27" s="360" t="str"/>
      <x:c r="N27" s="360" t="str"/>
      <x:c r="O27" s="355" t="str">
        <x:f>IF(OR(J27="Passed",J27="Mastered"),"Yes",IF(G27="Soft","Not required yet","No"))</x:f>
        <x:v>Not required yet</x:v>
      </x:c>
      <x:c r="P27" s="371" t="str"/>
      <x:c r="Q27" s="344" t="str"/>
      <x:c r="R27" s="338" t="str">
        <x:f>IF(AND(G27="Hard",O27&lt;&gt;"Yes"),"Potentially blocks dependent topics","")</x:f>
      </x:c>
      <x:c r="S27" s="339" t="str">
        <x:f>IF(J27="Mastered","Spaced review",IF(J27="Passed","Proceed to next eligible topic",IF(J27="Remediation","Complete targeted remediation",IF(H27="Gap","Start assigned learning method",IF(H27="Passed","Confirm with topic-level assessment","Not yet assessed")))))</x:f>
        <x:v>Not yet assessed</x:v>
      </x:c>
    </x:row>
    <x:row r="28" ht="38" customHeight="1">
      <x:c r="A28" s="354" t="n">
        <x:v>23</x:v>
      </x:c>
      <x:c r="B28" s="338" t="str">
        <x:v>Query expansion, decomposition, and transformation</x:v>
      </x:c>
      <x:c r="C28" s="355" t="n">
        <x:v>1</x:v>
      </x:c>
      <x:c r="D28" s="338" t="str">
        <x:v>Layer 1 — Data and RAG foundations</x:v>
      </x:c>
      <x:c r="E28" s="338" t="str">
        <x:v>9, 19, 20</x:v>
      </x:c>
      <x:c r="F28" s="338" t="str">
        <x:v>Level 4 — Select/Diagnose</x:v>
      </x:c>
      <x:c r="G28" s="338" t="str">
        <x:v>Hard</x:v>
      </x:c>
      <x:c r="H28" s="355" t="str">
        <x:f>IF(COUNTIF('Initial Diagnostic'!$D$6:$D$65,A28)=0,"Not assessed",IF(COUNTIFS('Initial Diagnostic'!$D$6:$D$65,A28,'Initial Diagnostic'!$P$6:$P$65,"Gap")&gt;0,"Gap",IF(COUNTIFS('Initial Diagnostic'!$D$6:$D$65,A28,'Initial Diagnostic'!$P$6:$P$65,"Pass")&gt;0,"Passed","Not scored")))</x:f>
        <x:v>Not assessed</x:v>
      </x:c>
      <x:c r="I28" s="360" t="str"/>
      <x:c r="J28" s="360" t="str">
        <x:v>Not Started</x:v>
      </x:c>
      <x:c r="K28" s="360" t="str"/>
      <x:c r="L28" s="360" t="str"/>
      <x:c r="M28" s="360" t="str"/>
      <x:c r="N28" s="360" t="str"/>
      <x:c r="O28" s="355" t="str">
        <x:f>IF(OR(J28="Passed",J28="Mastered"),"Yes",IF(G28="Soft","Not required yet","No"))</x:f>
        <x:v>No</x:v>
      </x:c>
      <x:c r="P28" s="371" t="str"/>
      <x:c r="Q28" s="344" t="str"/>
      <x:c r="R28" s="338" t="str">
        <x:f>IF(AND(G28="Hard",O28&lt;&gt;"Yes"),"Potentially blocks dependent topics","")</x:f>
        <x:v>Potentially blocks dependent topics</x:v>
      </x:c>
      <x:c r="S28" s="339" t="str">
        <x:f>IF(J28="Mastered","Spaced review",IF(J28="Passed","Proceed to next eligible topic",IF(J28="Remediation","Complete targeted remediation",IF(H28="Gap","Start assigned learning method",IF(H28="Passed","Confirm with topic-level assessment","Not yet assessed")))))</x:f>
        <x:v>Not yet assessed</x:v>
      </x:c>
    </x:row>
    <x:row r="29" ht="38" customHeight="1">
      <x:c r="A29" s="354" t="n">
        <x:v>24</x:v>
      </x:c>
      <x:c r="B29" s="338" t="str">
        <x:v>Vector-store ingestion, synchronization, refresh, and maintenance</x:v>
      </x:c>
      <x:c r="C29" s="355" t="n">
        <x:v>1</x:v>
      </x:c>
      <x:c r="D29" s="338" t="str">
        <x:v>Layer 1 — Data and RAG foundations</x:v>
      </x:c>
      <x:c r="E29" s="338" t="str">
        <x:v>11, 17, 20</x:v>
      </x:c>
      <x:c r="F29" s="338" t="str">
        <x:v>Level 3 — Apply/Implement</x:v>
      </x:c>
      <x:c r="G29" s="338" t="str">
        <x:v>Hard</x:v>
      </x:c>
      <x:c r="H29" s="355" t="str">
        <x:f>IF(COUNTIF('Initial Diagnostic'!$D$6:$D$65,A29)=0,"Not assessed",IF(COUNTIFS('Initial Diagnostic'!$D$6:$D$65,A29,'Initial Diagnostic'!$P$6:$P$65,"Gap")&gt;0,"Gap",IF(COUNTIFS('Initial Diagnostic'!$D$6:$D$65,A29,'Initial Diagnostic'!$P$6:$P$65,"Pass")&gt;0,"Passed","Not scored")))</x:f>
        <x:v>Not assessed</x:v>
      </x:c>
      <x:c r="I29" s="360" t="str"/>
      <x:c r="J29" s="360" t="str">
        <x:v>Not Started</x:v>
      </x:c>
      <x:c r="K29" s="360" t="str"/>
      <x:c r="L29" s="360" t="str"/>
      <x:c r="M29" s="360" t="str"/>
      <x:c r="N29" s="360" t="str"/>
      <x:c r="O29" s="355" t="str">
        <x:f>IF(OR(J29="Passed",J29="Mastered"),"Yes",IF(G29="Soft","Not required yet","No"))</x:f>
        <x:v>No</x:v>
      </x:c>
      <x:c r="P29" s="371" t="str"/>
      <x:c r="Q29" s="344" t="str"/>
      <x:c r="R29" s="338" t="str">
        <x:f>IF(AND(G29="Hard",O29&lt;&gt;"Yes"),"Potentially blocks dependent topics","")</x:f>
        <x:v>Potentially blocks dependent topics</x:v>
      </x:c>
      <x:c r="S29" s="339" t="str">
        <x:f>IF(J29="Mastered","Spaced review",IF(J29="Passed","Proceed to next eligible topic",IF(J29="Remediation","Complete targeted remediation",IF(H29="Gap","Start assigned learning method",IF(H29="Passed","Confirm with topic-level assessment","Not yet assessed")))))</x:f>
        <x:v>Not yet assessed</x:v>
      </x:c>
    </x:row>
    <x:row r="30" ht="38" customHeight="1">
      <x:c r="A30" s="354" t="n">
        <x:v>25</x:v>
      </x:c>
      <x:c r="B30" s="338" t="str">
        <x:v>Retrieval APIs, function interfaces, and MCP access</x:v>
      </x:c>
      <x:c r="C30" s="355" t="n">
        <x:v>1</x:v>
      </x:c>
      <x:c r="D30" s="338" t="str">
        <x:v>Layer 1 — Data and RAG foundations</x:v>
      </x:c>
      <x:c r="E30" s="338" t="str">
        <x:v>4, 19, 20</x:v>
      </x:c>
      <x:c r="F30" s="338" t="str">
        <x:v>Level 3 — Apply/Implement</x:v>
      </x:c>
      <x:c r="G30" s="338" t="str">
        <x:v>Hard</x:v>
      </x:c>
      <x:c r="H30" s="355" t="str">
        <x:f>IF(COUNTIF('Initial Diagnostic'!$D$6:$D$65,A30)=0,"Not assessed",IF(COUNTIFS('Initial Diagnostic'!$D$6:$D$65,A30,'Initial Diagnostic'!$P$6:$P$65,"Gap")&gt;0,"Gap",IF(COUNTIFS('Initial Diagnostic'!$D$6:$D$65,A30,'Initial Diagnostic'!$P$6:$P$65,"Pass")&gt;0,"Passed","Not scored")))</x:f>
        <x:v>Not assessed</x:v>
      </x:c>
      <x:c r="I30" s="360" t="str"/>
      <x:c r="J30" s="360" t="str">
        <x:v>Not Started</x:v>
      </x:c>
      <x:c r="K30" s="360" t="str"/>
      <x:c r="L30" s="360" t="str"/>
      <x:c r="M30" s="360" t="str"/>
      <x:c r="N30" s="360" t="str"/>
      <x:c r="O30" s="355" t="str">
        <x:f>IF(OR(J30="Passed",J30="Mastered"),"Yes",IF(G30="Soft","Not required yet","No"))</x:f>
        <x:v>No</x:v>
      </x:c>
      <x:c r="P30" s="371" t="str"/>
      <x:c r="Q30" s="344" t="str"/>
      <x:c r="R30" s="338" t="str">
        <x:f>IF(AND(G30="Hard",O30&lt;&gt;"Yes"),"Potentially blocks dependent topics","")</x:f>
        <x:v>Potentially blocks dependent topics</x:v>
      </x:c>
      <x:c r="S30" s="339" t="str">
        <x:f>IF(J30="Mastered","Spaced review",IF(J30="Passed","Proceed to next eligible topic",IF(J30="Remediation","Complete targeted remediation",IF(H30="Gap","Start assigned learning method",IF(H30="Passed","Confirm with topic-level assessment","Not yet assessed")))))</x:f>
        <x:v>Not yet assessed</x:v>
      </x:c>
    </x:row>
    <x:row r="31" ht="38" customHeight="1">
      <x:c r="A31" s="354" t="n">
        <x:v>26</x:v>
      </x:c>
      <x:c r="B31" s="338" t="str">
        <x:v>RAG quality evaluation and retrieval troubleshooting</x:v>
      </x:c>
      <x:c r="C31" s="355" t="n">
        <x:v>1</x:v>
      </x:c>
      <x:c r="D31" s="338" t="str">
        <x:v>Layer 1 — Data and RAG foundations</x:v>
      </x:c>
      <x:c r="E31" s="338" t="str">
        <x:v>10, 20, 21, 22, 23, 24, 25</x:v>
      </x:c>
      <x:c r="F31" s="338" t="str">
        <x:v>Level 4 — Select/Diagnose</x:v>
      </x:c>
      <x:c r="G31" s="338" t="str">
        <x:v>Hard</x:v>
      </x:c>
      <x:c r="H31" s="355" t="str">
        <x:f>IF(COUNTIF('Initial Diagnostic'!$D$6:$D$65,A31)=0,"Not assessed",IF(COUNTIFS('Initial Diagnostic'!$D$6:$D$65,A31,'Initial Diagnostic'!$P$6:$P$65,"Gap")&gt;0,"Gap",IF(COUNTIFS('Initial Diagnostic'!$D$6:$D$65,A31,'Initial Diagnostic'!$P$6:$P$65,"Pass")&gt;0,"Passed","Not scored")))</x:f>
        <x:v>Not scored</x:v>
      </x:c>
      <x:c r="I31" s="360" t="str"/>
      <x:c r="J31" s="360" t="str">
        <x:v>Not Started</x:v>
      </x:c>
      <x:c r="K31" s="360" t="str"/>
      <x:c r="L31" s="360" t="str"/>
      <x:c r="M31" s="360" t="str"/>
      <x:c r="N31" s="360" t="str"/>
      <x:c r="O31" s="355" t="str">
        <x:f>IF(OR(J31="Passed",J31="Mastered"),"Yes",IF(G31="Soft","Not required yet","No"))</x:f>
        <x:v>No</x:v>
      </x:c>
      <x:c r="P31" s="371" t="str"/>
      <x:c r="Q31" s="344" t="str"/>
      <x:c r="R31" s="338" t="str">
        <x:f>IF(AND(G31="Hard",O31&lt;&gt;"Yes"),"Potentially blocks dependent topics","")</x:f>
        <x:v>Potentially blocks dependent topics</x:v>
      </x:c>
      <x:c r="S31" s="339" t="str">
        <x:f>IF(J31="Mastered","Spaced review",IF(J31="Passed","Proceed to next eligible topic",IF(J31="Remediation","Complete targeted remediation",IF(H31="Gap","Start assigned learning method",IF(H31="Passed","Confirm with topic-level assessment","Not yet assessed")))))</x:f>
        <x:v>Not yet assessed</x:v>
      </x:c>
    </x:row>
    <x:row r="32" ht="38" customHeight="1">
      <x:c r="A32" s="354" t="n">
        <x:v>27</x:v>
      </x:c>
      <x:c r="B32" s="338" t="str">
        <x:v>Conversation context, history, intent, and state management</x:v>
      </x:c>
      <x:c r="C32" s="355" t="n">
        <x:v>2</x:v>
      </x:c>
      <x:c r="D32" s="338" t="str">
        <x:v>Layer 2 — Prompt systems and application interaction</x:v>
      </x:c>
      <x:c r="E32" s="338" t="str">
        <x:v>8, 9</x:v>
      </x:c>
      <x:c r="F32" s="338" t="str">
        <x:v>Level 3 — Apply/Implement</x:v>
      </x:c>
      <x:c r="G32" s="338" t="str">
        <x:v>Hard</x:v>
      </x:c>
      <x:c r="H32" s="355" t="str">
        <x:f>IF(COUNTIF('Initial Diagnostic'!$D$6:$D$65,A32)=0,"Not assessed",IF(COUNTIFS('Initial Diagnostic'!$D$6:$D$65,A32,'Initial Diagnostic'!$P$6:$P$65,"Gap")&gt;0,"Gap",IF(COUNTIFS('Initial Diagnostic'!$D$6:$D$65,A32,'Initial Diagnostic'!$P$6:$P$65,"Pass")&gt;0,"Passed","Not scored")))</x:f>
        <x:v>Not scored</x:v>
      </x:c>
      <x:c r="I32" s="360" t="str"/>
      <x:c r="J32" s="360" t="str">
        <x:v>Not Started</x:v>
      </x:c>
      <x:c r="K32" s="360" t="str"/>
      <x:c r="L32" s="360" t="str"/>
      <x:c r="M32" s="360" t="str"/>
      <x:c r="N32" s="360" t="str"/>
      <x:c r="O32" s="355" t="str">
        <x:f>IF(OR(J32="Passed",J32="Mastered"),"Yes",IF(G32="Soft","Not required yet","No"))</x:f>
        <x:v>No</x:v>
      </x:c>
      <x:c r="P32" s="371" t="str"/>
      <x:c r="Q32" s="344" t="str"/>
      <x:c r="R32" s="338" t="str">
        <x:f>IF(AND(G32="Hard",O32&lt;&gt;"Yes"),"Potentially blocks dependent topics","")</x:f>
        <x:v>Potentially blocks dependent topics</x:v>
      </x:c>
      <x:c r="S32" s="339" t="str">
        <x:f>IF(J32="Mastered","Spaced review",IF(J32="Passed","Proceed to next eligible topic",IF(J32="Remediation","Complete targeted remediation",IF(H32="Gap","Start assigned learning method",IF(H32="Passed","Confirm with topic-level assessment","Not yet assessed")))))</x:f>
        <x:v>Not yet assessed</x:v>
      </x:c>
    </x:row>
    <x:row r="33" ht="38" customHeight="1">
      <x:c r="A33" s="354" t="n">
        <x:v>28</x:v>
      </x:c>
      <x:c r="B33" s="338" t="str">
        <x:v>Advanced prompt engineering and iterative refinement</x:v>
      </x:c>
      <x:c r="C33" s="355" t="n">
        <x:v>2</x:v>
      </x:c>
      <x:c r="D33" s="338" t="str">
        <x:v>Layer 2 — Prompt systems and application interaction</x:v>
      </x:c>
      <x:c r="E33" s="338" t="str">
        <x:v>9, 10, 27</x:v>
      </x:c>
      <x:c r="F33" s="338" t="str">
        <x:v>Level 3 — Apply/Implement</x:v>
      </x:c>
      <x:c r="G33" s="338" t="str">
        <x:v>Hard</x:v>
      </x:c>
      <x:c r="H33" s="355" t="str">
        <x:f>IF(COUNTIF('Initial Diagnostic'!$D$6:$D$65,A33)=0,"Not assessed",IF(COUNTIFS('Initial Diagnostic'!$D$6:$D$65,A33,'Initial Diagnostic'!$P$6:$P$65,"Gap")&gt;0,"Gap",IF(COUNTIFS('Initial Diagnostic'!$D$6:$D$65,A33,'Initial Diagnostic'!$P$6:$P$65,"Pass")&gt;0,"Passed","Not scored")))</x:f>
        <x:v>Not assessed</x:v>
      </x:c>
      <x:c r="I33" s="360" t="str"/>
      <x:c r="J33" s="360" t="str">
        <x:v>Not Started</x:v>
      </x:c>
      <x:c r="K33" s="360" t="str"/>
      <x:c r="L33" s="360" t="str"/>
      <x:c r="M33" s="360" t="str"/>
      <x:c r="N33" s="360" t="str"/>
      <x:c r="O33" s="355" t="str">
        <x:f>IF(OR(J33="Passed",J33="Mastered"),"Yes",IF(G33="Soft","Not required yet","No"))</x:f>
        <x:v>No</x:v>
      </x:c>
      <x:c r="P33" s="371" t="str"/>
      <x:c r="Q33" s="344" t="str"/>
      <x:c r="R33" s="338" t="str">
        <x:f>IF(AND(G33="Hard",O33&lt;&gt;"Yes"),"Potentially blocks dependent topics","")</x:f>
        <x:v>Potentially blocks dependent topics</x:v>
      </x:c>
      <x:c r="S33" s="339" t="str">
        <x:f>IF(J33="Mastered","Spaced review",IF(J33="Passed","Proceed to next eligible topic",IF(J33="Remediation","Complete targeted remediation",IF(H33="Gap","Start assigned learning method",IF(H33="Passed","Confirm with topic-level assessment","Not yet assessed")))))</x:f>
        <x:v>Not yet assessed</x:v>
      </x:c>
    </x:row>
    <x:row r="34" ht="38" customHeight="1">
      <x:c r="A34" s="354" t="n">
        <x:v>29</x:v>
      </x:c>
      <x:c r="B34" s="338" t="str">
        <x:v>Prompt versioning, repositories, approvals, and governance</x:v>
      </x:c>
      <x:c r="C34" s="355" t="n">
        <x:v>2</x:v>
      </x:c>
      <x:c r="D34" s="338" t="str">
        <x:v>Layer 2 — Prompt systems and application interaction</x:v>
      </x:c>
      <x:c r="E34" s="338" t="str">
        <x:v>5, 28</x:v>
      </x:c>
      <x:c r="F34" s="338" t="str">
        <x:v>Level 3 — Apply/Implement</x:v>
      </x:c>
      <x:c r="G34" s="338" t="str">
        <x:v>Hard</x:v>
      </x:c>
      <x:c r="H34" s="355" t="str">
        <x:f>IF(COUNTIF('Initial Diagnostic'!$D$6:$D$65,A34)=0,"Not assessed",IF(COUNTIFS('Initial Diagnostic'!$D$6:$D$65,A34,'Initial Diagnostic'!$P$6:$P$65,"Gap")&gt;0,"Gap",IF(COUNTIFS('Initial Diagnostic'!$D$6:$D$65,A34,'Initial Diagnostic'!$P$6:$P$65,"Pass")&gt;0,"Passed","Not scored")))</x:f>
        <x:v>Not assessed</x:v>
      </x:c>
      <x:c r="I34" s="360" t="str"/>
      <x:c r="J34" s="360" t="str">
        <x:v>Not Started</x:v>
      </x:c>
      <x:c r="K34" s="360" t="str"/>
      <x:c r="L34" s="360" t="str"/>
      <x:c r="M34" s="360" t="str"/>
      <x:c r="N34" s="360" t="str"/>
      <x:c r="O34" s="355" t="str">
        <x:f>IF(OR(J34="Passed",J34="Mastered"),"Yes",IF(G34="Soft","Not required yet","No"))</x:f>
        <x:v>No</x:v>
      </x:c>
      <x:c r="P34" s="371" t="str"/>
      <x:c r="Q34" s="344" t="str"/>
      <x:c r="R34" s="338" t="str">
        <x:f>IF(AND(G34="Hard",O34&lt;&gt;"Yes"),"Potentially blocks dependent topics","")</x:f>
        <x:v>Potentially blocks dependent topics</x:v>
      </x:c>
      <x:c r="S34" s="339" t="str">
        <x:f>IF(J34="Mastered","Spaced review",IF(J34="Passed","Proceed to next eligible topic",IF(J34="Remediation","Complete targeted remediation",IF(H34="Gap","Start assigned learning method",IF(H34="Passed","Confirm with topic-level assessment","Not yet assessed")))))</x:f>
        <x:v>Not yet assessed</x:v>
      </x:c>
    </x:row>
    <x:row r="35" ht="38" customHeight="1">
      <x:c r="A35" s="354" t="n">
        <x:v>30</x:v>
      </x:c>
      <x:c r="B35" s="338" t="str">
        <x:v>Prompt regression testing and quality assurance</x:v>
      </x:c>
      <x:c r="C35" s="355" t="n">
        <x:v>2</x:v>
      </x:c>
      <x:c r="D35" s="338" t="str">
        <x:v>Layer 2 — Prompt systems and application interaction</x:v>
      </x:c>
      <x:c r="E35" s="338" t="str">
        <x:v>10, 28, 29</x:v>
      </x:c>
      <x:c r="F35" s="338" t="str">
        <x:v>Level 3 — Apply/Implement</x:v>
      </x:c>
      <x:c r="G35" s="338" t="str">
        <x:v>Hard</x:v>
      </x:c>
      <x:c r="H35" s="355" t="str">
        <x:f>IF(COUNTIF('Initial Diagnostic'!$D$6:$D$65,A35)=0,"Not assessed",IF(COUNTIFS('Initial Diagnostic'!$D$6:$D$65,A35,'Initial Diagnostic'!$P$6:$P$65,"Gap")&gt;0,"Gap",IF(COUNTIFS('Initial Diagnostic'!$D$6:$D$65,A35,'Initial Diagnostic'!$P$6:$P$65,"Pass")&gt;0,"Passed","Not scored")))</x:f>
        <x:v>Not scored</x:v>
      </x:c>
      <x:c r="I35" s="360" t="str"/>
      <x:c r="J35" s="360" t="str">
        <x:v>Not Started</x:v>
      </x:c>
      <x:c r="K35" s="360" t="str"/>
      <x:c r="L35" s="360" t="str"/>
      <x:c r="M35" s="360" t="str"/>
      <x:c r="N35" s="360" t="str"/>
      <x:c r="O35" s="355" t="str">
        <x:f>IF(OR(J35="Passed",J35="Mastered"),"Yes",IF(G35="Soft","Not required yet","No"))</x:f>
        <x:v>No</x:v>
      </x:c>
      <x:c r="P35" s="371" t="str"/>
      <x:c r="Q35" s="344" t="str"/>
      <x:c r="R35" s="338" t="str">
        <x:f>IF(AND(G35="Hard",O35&lt;&gt;"Yes"),"Potentially blocks dependent topics","")</x:f>
        <x:v>Potentially blocks dependent topics</x:v>
      </x:c>
      <x:c r="S35" s="339" t="str">
        <x:f>IF(J35="Mastered","Spaced review",IF(J35="Passed","Proceed to next eligible topic",IF(J35="Remediation","Complete targeted remediation",IF(H35="Gap","Start assigned learning method",IF(H35="Passed","Confirm with topic-level assessment","Not yet assessed")))))</x:f>
        <x:v>Not yet assessed</x:v>
      </x:c>
    </x:row>
    <x:row r="36" ht="38" customHeight="1">
      <x:c r="A36" s="354" t="n">
        <x:v>31</x:v>
      </x:c>
      <x:c r="B36" s="338" t="str">
        <x:v>Prompt chaining, branching, and Bedrock Prompt Flows</x:v>
      </x:c>
      <x:c r="C36" s="355" t="n">
        <x:v>2</x:v>
      </x:c>
      <x:c r="D36" s="338" t="str">
        <x:v>Layer 2 — Prompt systems and application interaction</x:v>
      </x:c>
      <x:c r="E36" s="338" t="str">
        <x:v>28, 29, 30</x:v>
      </x:c>
      <x:c r="F36" s="338" t="str">
        <x:v>Level 3 — Apply/Implement</x:v>
      </x:c>
      <x:c r="G36" s="338" t="str">
        <x:v>Hard</x:v>
      </x:c>
      <x:c r="H36" s="355" t="str">
        <x:f>IF(COUNTIF('Initial Diagnostic'!$D$6:$D$65,A36)=0,"Not assessed",IF(COUNTIFS('Initial Diagnostic'!$D$6:$D$65,A36,'Initial Diagnostic'!$P$6:$P$65,"Gap")&gt;0,"Gap",IF(COUNTIFS('Initial Diagnostic'!$D$6:$D$65,A36,'Initial Diagnostic'!$P$6:$P$65,"Pass")&gt;0,"Passed","Not scored")))</x:f>
        <x:v>Not assessed</x:v>
      </x:c>
      <x:c r="I36" s="360" t="str"/>
      <x:c r="J36" s="360" t="str">
        <x:v>Not Started</x:v>
      </x:c>
      <x:c r="K36" s="360" t="str"/>
      <x:c r="L36" s="360" t="str"/>
      <x:c r="M36" s="360" t="str"/>
      <x:c r="N36" s="360" t="str"/>
      <x:c r="O36" s="355" t="str">
        <x:f>IF(OR(J36="Passed",J36="Mastered"),"Yes",IF(G36="Soft","Not required yet","No"))</x:f>
        <x:v>No</x:v>
      </x:c>
      <x:c r="P36" s="371" t="str"/>
      <x:c r="Q36" s="344" t="str"/>
      <x:c r="R36" s="338" t="str">
        <x:f>IF(AND(G36="Hard",O36&lt;&gt;"Yes"),"Potentially blocks dependent topics","")</x:f>
        <x:v>Potentially blocks dependent topics</x:v>
      </x:c>
      <x:c r="S36" s="339" t="str">
        <x:f>IF(J36="Mastered","Spaced review",IF(J36="Passed","Proceed to next eligible topic",IF(J36="Remediation","Complete targeted remediation",IF(H36="Gap","Start assigned learning method",IF(H36="Passed","Confirm with topic-level assessment","Not yet assessed")))))</x:f>
        <x:v>Not yet assessed</x:v>
      </x:c>
    </x:row>
    <x:row r="37" ht="38" customHeight="1">
      <x:c r="A37" s="354" t="n">
        <x:v>32</x:v>
      </x:c>
      <x:c r="B37" s="338" t="str">
        <x:v>Synchronous FM API integration</x:v>
      </x:c>
      <x:c r="C37" s="355" t="n">
        <x:v>2</x:v>
      </x:c>
      <x:c r="D37" s="338" t="str">
        <x:v>Layer 2 — Prompt systems and application interaction</x:v>
      </x:c>
      <x:c r="E37" s="338" t="str">
        <x:v>4, 5, 8</x:v>
      </x:c>
      <x:c r="F37" s="338" t="str">
        <x:v>Level 3 — Apply/Implement</x:v>
      </x:c>
      <x:c r="G37" s="338" t="str">
        <x:v>Hard</x:v>
      </x:c>
      <x:c r="H37" s="355" t="str">
        <x:f>IF(COUNTIF('Initial Diagnostic'!$D$6:$D$65,A37)=0,"Not assessed",IF(COUNTIFS('Initial Diagnostic'!$D$6:$D$65,A37,'Initial Diagnostic'!$P$6:$P$65,"Gap")&gt;0,"Gap",IF(COUNTIFS('Initial Diagnostic'!$D$6:$D$65,A37,'Initial Diagnostic'!$P$6:$P$65,"Pass")&gt;0,"Passed","Not scored")))</x:f>
        <x:v>Not scored</x:v>
      </x:c>
      <x:c r="I37" s="360" t="str"/>
      <x:c r="J37" s="360" t="str">
        <x:v>Not Started</x:v>
      </x:c>
      <x:c r="K37" s="360" t="str"/>
      <x:c r="L37" s="360" t="str"/>
      <x:c r="M37" s="360" t="str"/>
      <x:c r="N37" s="360" t="str"/>
      <x:c r="O37" s="355" t="str">
        <x:f>IF(OR(J37="Passed",J37="Mastered"),"Yes",IF(G37="Soft","Not required yet","No"))</x:f>
        <x:v>No</x:v>
      </x:c>
      <x:c r="P37" s="371" t="str"/>
      <x:c r="Q37" s="344" t="str"/>
      <x:c r="R37" s="338" t="str">
        <x:f>IF(AND(G37="Hard",O37&lt;&gt;"Yes"),"Potentially blocks dependent topics","")</x:f>
        <x:v>Potentially blocks dependent topics</x:v>
      </x:c>
      <x:c r="S37" s="339" t="str">
        <x:f>IF(J37="Mastered","Spaced review",IF(J37="Passed","Proceed to next eligible topic",IF(J37="Remediation","Complete targeted remediation",IF(H37="Gap","Start assigned learning method",IF(H37="Passed","Confirm with topic-level assessment","Not yet assessed")))))</x:f>
        <x:v>Not yet assessed</x:v>
      </x:c>
    </x:row>
    <x:row r="38" ht="38" customHeight="1">
      <x:c r="A38" s="354" t="n">
        <x:v>33</x:v>
      </x:c>
      <x:c r="B38" s="338" t="str">
        <x:v>Asynchronous FM processing</x:v>
      </x:c>
      <x:c r="C38" s="355" t="n">
        <x:v>2</x:v>
      </x:c>
      <x:c r="D38" s="338" t="str">
        <x:v>Layer 2 — Prompt systems and application interaction</x:v>
      </x:c>
      <x:c r="E38" s="338" t="str">
        <x:v>4, 8, 32</x:v>
      </x:c>
      <x:c r="F38" s="338" t="str">
        <x:v>Level 3 — Apply/Implement</x:v>
      </x:c>
      <x:c r="G38" s="338" t="str">
        <x:v>Hard</x:v>
      </x:c>
      <x:c r="H38" s="355" t="str">
        <x:f>IF(COUNTIF('Initial Diagnostic'!$D$6:$D$65,A38)=0,"Not assessed",IF(COUNTIFS('Initial Diagnostic'!$D$6:$D$65,A38,'Initial Diagnostic'!$P$6:$P$65,"Gap")&gt;0,"Gap",IF(COUNTIFS('Initial Diagnostic'!$D$6:$D$65,A38,'Initial Diagnostic'!$P$6:$P$65,"Pass")&gt;0,"Passed","Not scored")))</x:f>
        <x:v>Not assessed</x:v>
      </x:c>
      <x:c r="I38" s="360" t="str"/>
      <x:c r="J38" s="360" t="str">
        <x:v>Not Started</x:v>
      </x:c>
      <x:c r="K38" s="360" t="str"/>
      <x:c r="L38" s="360" t="str"/>
      <x:c r="M38" s="360" t="str"/>
      <x:c r="N38" s="360" t="str"/>
      <x:c r="O38" s="355" t="str">
        <x:f>IF(OR(J38="Passed",J38="Mastered"),"Yes",IF(G38="Soft","Not required yet","No"))</x:f>
        <x:v>No</x:v>
      </x:c>
      <x:c r="P38" s="371" t="str"/>
      <x:c r="Q38" s="344" t="str"/>
      <x:c r="R38" s="338" t="str">
        <x:f>IF(AND(G38="Hard",O38&lt;&gt;"Yes"),"Potentially blocks dependent topics","")</x:f>
        <x:v>Potentially blocks dependent topics</x:v>
      </x:c>
      <x:c r="S38" s="339" t="str">
        <x:f>IF(J38="Mastered","Spaced review",IF(J38="Passed","Proceed to next eligible topic",IF(J38="Remediation","Complete targeted remediation",IF(H38="Gap","Start assigned learning method",IF(H38="Passed","Confirm with topic-level assessment","Not yet assessed")))))</x:f>
        <x:v>Not yet assessed</x:v>
      </x:c>
    </x:row>
    <x:row r="39" ht="38" customHeight="1">
      <x:c r="A39" s="354" t="n">
        <x:v>34</x:v>
      </x:c>
      <x:c r="B39" s="338" t="str">
        <x:v>Streaming responses, WebSockets, and server-sent events</x:v>
      </x:c>
      <x:c r="C39" s="355" t="n">
        <x:v>2</x:v>
      </x:c>
      <x:c r="D39" s="338" t="str">
        <x:v>Layer 2 — Prompt systems and application interaction</x:v>
      </x:c>
      <x:c r="E39" s="338" t="str">
        <x:v>4, 8, 32</x:v>
      </x:c>
      <x:c r="F39" s="338" t="str">
        <x:v>Level 3 — Apply/Implement</x:v>
      </x:c>
      <x:c r="G39" s="338" t="str">
        <x:v>Hard</x:v>
      </x:c>
      <x:c r="H39" s="355" t="str">
        <x:f>IF(COUNTIF('Initial Diagnostic'!$D$6:$D$65,A39)=0,"Not assessed",IF(COUNTIFS('Initial Diagnostic'!$D$6:$D$65,A39,'Initial Diagnostic'!$P$6:$P$65,"Gap")&gt;0,"Gap",IF(COUNTIFS('Initial Diagnostic'!$D$6:$D$65,A39,'Initial Diagnostic'!$P$6:$P$65,"Pass")&gt;0,"Passed","Not scored")))</x:f>
        <x:v>Not scored</x:v>
      </x:c>
      <x:c r="I39" s="360" t="str"/>
      <x:c r="J39" s="360" t="str">
        <x:v>Not Started</x:v>
      </x:c>
      <x:c r="K39" s="360" t="str"/>
      <x:c r="L39" s="360" t="str"/>
      <x:c r="M39" s="360" t="str"/>
      <x:c r="N39" s="360" t="str"/>
      <x:c r="O39" s="355" t="str">
        <x:f>IF(OR(J39="Passed",J39="Mastered"),"Yes",IF(G39="Soft","Not required yet","No"))</x:f>
        <x:v>No</x:v>
      </x:c>
      <x:c r="P39" s="371" t="str"/>
      <x:c r="Q39" s="344" t="str"/>
      <x:c r="R39" s="338" t="str">
        <x:f>IF(AND(G39="Hard",O39&lt;&gt;"Yes"),"Potentially blocks dependent topics","")</x:f>
        <x:v>Potentially blocks dependent topics</x:v>
      </x:c>
      <x:c r="S39" s="339" t="str">
        <x:f>IF(J39="Mastered","Spaced review",IF(J39="Passed","Proceed to next eligible topic",IF(J39="Remediation","Complete targeted remediation",IF(H39="Gap","Start assigned learning method",IF(H39="Passed","Confirm with topic-level assessment","Not yet assessed")))))</x:f>
        <x:v>Not yet assessed</x:v>
      </x:c>
    </x:row>
    <x:row r="40" ht="38" customHeight="1">
      <x:c r="A40" s="354" t="n">
        <x:v>35</x:v>
      </x:c>
      <x:c r="B40" s="338" t="str">
        <x:v>Token limits, request validation, and response handling</x:v>
      </x:c>
      <x:c r="C40" s="355" t="n">
        <x:v>2</x:v>
      </x:c>
      <x:c r="D40" s="338" t="str">
        <x:v>Layer 2 — Prompt systems and application interaction</x:v>
      </x:c>
      <x:c r="E40" s="338" t="str">
        <x:v>2, 8, 32</x:v>
      </x:c>
      <x:c r="F40" s="338" t="str">
        <x:v>Level 3 — Apply/Implement</x:v>
      </x:c>
      <x:c r="G40" s="338" t="str">
        <x:v>Hard</x:v>
      </x:c>
      <x:c r="H40" s="355" t="str">
        <x:f>IF(COUNTIF('Initial Diagnostic'!$D$6:$D$65,A40)=0,"Not assessed",IF(COUNTIFS('Initial Diagnostic'!$D$6:$D$65,A40,'Initial Diagnostic'!$P$6:$P$65,"Gap")&gt;0,"Gap",IF(COUNTIFS('Initial Diagnostic'!$D$6:$D$65,A40,'Initial Diagnostic'!$P$6:$P$65,"Pass")&gt;0,"Passed","Not scored")))</x:f>
        <x:v>Not scored</x:v>
      </x:c>
      <x:c r="I40" s="360" t="str"/>
      <x:c r="J40" s="360" t="str">
        <x:v>Not Started</x:v>
      </x:c>
      <x:c r="K40" s="360" t="str"/>
      <x:c r="L40" s="360" t="str"/>
      <x:c r="M40" s="360" t="str"/>
      <x:c r="N40" s="360" t="str"/>
      <x:c r="O40" s="355" t="str">
        <x:f>IF(OR(J40="Passed",J40="Mastered"),"Yes",IF(G40="Soft","Not required yet","No"))</x:f>
        <x:v>No</x:v>
      </x:c>
      <x:c r="P40" s="371" t="str"/>
      <x:c r="Q40" s="344" t="str"/>
      <x:c r="R40" s="338" t="str">
        <x:f>IF(AND(G40="Hard",O40&lt;&gt;"Yes"),"Potentially blocks dependent topics","")</x:f>
        <x:v>Potentially blocks dependent topics</x:v>
      </x:c>
      <x:c r="S40" s="339" t="str">
        <x:f>IF(J40="Mastered","Spaced review",IF(J40="Passed","Proceed to next eligible topic",IF(J40="Remediation","Complete targeted remediation",IF(H40="Gap","Start assigned learning method",IF(H40="Passed","Confirm with topic-level assessment","Not yet assessed")))))</x:f>
        <x:v>Not yet assessed</x:v>
      </x:c>
    </x:row>
    <x:row r="41" ht="38" customHeight="1">
      <x:c r="A41" s="354" t="n">
        <x:v>36</x:v>
      </x:c>
      <x:c r="B41" s="338" t="str">
        <x:v>Retries, exponential backoff, rate limiting, and timeouts</x:v>
      </x:c>
      <x:c r="C41" s="355" t="n">
        <x:v>2</x:v>
      </x:c>
      <x:c r="D41" s="338" t="str">
        <x:v>Layer 2 — Prompt systems and application interaction</x:v>
      </x:c>
      <x:c r="E41" s="338" t="str">
        <x:v>32, 35</x:v>
      </x:c>
      <x:c r="F41" s="338" t="str">
        <x:v>Level 3 — Apply/Implement</x:v>
      </x:c>
      <x:c r="G41" s="338" t="str">
        <x:v>Hard</x:v>
      </x:c>
      <x:c r="H41" s="355" t="str">
        <x:f>IF(COUNTIF('Initial Diagnostic'!$D$6:$D$65,A41)=0,"Not assessed",IF(COUNTIFS('Initial Diagnostic'!$D$6:$D$65,A41,'Initial Diagnostic'!$P$6:$P$65,"Gap")&gt;0,"Gap",IF(COUNTIFS('Initial Diagnostic'!$D$6:$D$65,A41,'Initial Diagnostic'!$P$6:$P$65,"Pass")&gt;0,"Passed","Not scored")))</x:f>
        <x:v>Not scored</x:v>
      </x:c>
      <x:c r="I41" s="360" t="str"/>
      <x:c r="J41" s="360" t="str">
        <x:v>Not Started</x:v>
      </x:c>
      <x:c r="K41" s="360" t="str"/>
      <x:c r="L41" s="360" t="str"/>
      <x:c r="M41" s="360" t="str"/>
      <x:c r="N41" s="360" t="str"/>
      <x:c r="O41" s="355" t="str">
        <x:f>IF(OR(J41="Passed",J41="Mastered"),"Yes",IF(G41="Soft","Not required yet","No"))</x:f>
        <x:v>No</x:v>
      </x:c>
      <x:c r="P41" s="371" t="str"/>
      <x:c r="Q41" s="344" t="str"/>
      <x:c r="R41" s="338" t="str">
        <x:f>IF(AND(G41="Hard",O41&lt;&gt;"Yes"),"Potentially blocks dependent topics","")</x:f>
        <x:v>Potentially blocks dependent topics</x:v>
      </x:c>
      <x:c r="S41" s="339" t="str">
        <x:f>IF(J41="Mastered","Spaced review",IF(J41="Passed","Proceed to next eligible topic",IF(J41="Remediation","Complete targeted remediation",IF(H41="Gap","Start assigned learning method",IF(H41="Passed","Confirm with topic-level assessment","Not yet assessed")))))</x:f>
        <x:v>Not yet assessed</x:v>
      </x:c>
    </x:row>
    <x:row r="42" ht="38" customHeight="1">
      <x:c r="A42" s="354" t="n">
        <x:v>37</x:v>
      </x:c>
      <x:c r="B42" s="338" t="str">
        <x:v>Fallbacks, circuit breakers, and graceful degradation</x:v>
      </x:c>
      <x:c r="C42" s="355" t="n">
        <x:v>2</x:v>
      </x:c>
      <x:c r="D42" s="338" t="str">
        <x:v>Layer 2 — Prompt systems and application interaction</x:v>
      </x:c>
      <x:c r="E42" s="338" t="str">
        <x:v>36</x:v>
      </x:c>
      <x:c r="F42" s="338" t="str">
        <x:v>Level 4 — Select/Diagnose</x:v>
      </x:c>
      <x:c r="G42" s="338" t="str">
        <x:v>Hard</x:v>
      </x:c>
      <x:c r="H42" s="355" t="str">
        <x:f>IF(COUNTIF('Initial Diagnostic'!$D$6:$D$65,A42)=0,"Not assessed",IF(COUNTIFS('Initial Diagnostic'!$D$6:$D$65,A42,'Initial Diagnostic'!$P$6:$P$65,"Gap")&gt;0,"Gap",IF(COUNTIFS('Initial Diagnostic'!$D$6:$D$65,A42,'Initial Diagnostic'!$P$6:$P$65,"Pass")&gt;0,"Passed","Not scored")))</x:f>
        <x:v>Not assessed</x:v>
      </x:c>
      <x:c r="I42" s="360" t="str"/>
      <x:c r="J42" s="360" t="str">
        <x:v>Not Started</x:v>
      </x:c>
      <x:c r="K42" s="360" t="str"/>
      <x:c r="L42" s="360" t="str"/>
      <x:c r="M42" s="360" t="str"/>
      <x:c r="N42" s="360" t="str"/>
      <x:c r="O42" s="355" t="str">
        <x:f>IF(OR(J42="Passed",J42="Mastered"),"Yes",IF(G42="Soft","Not required yet","No"))</x:f>
        <x:v>No</x:v>
      </x:c>
      <x:c r="P42" s="371" t="str"/>
      <x:c r="Q42" s="344" t="str"/>
      <x:c r="R42" s="338" t="str">
        <x:f>IF(AND(G42="Hard",O42&lt;&gt;"Yes"),"Potentially blocks dependent topics","")</x:f>
        <x:v>Potentially blocks dependent topics</x:v>
      </x:c>
      <x:c r="S42" s="339" t="str">
        <x:f>IF(J42="Mastered","Spaced review",IF(J42="Passed","Proceed to next eligible topic",IF(J42="Remediation","Complete targeted remediation",IF(H42="Gap","Start assigned learning method",IF(H42="Passed","Confirm with topic-level assessment","Not yet assessed")))))</x:f>
        <x:v>Not yet assessed</x:v>
      </x:c>
    </x:row>
    <x:row r="43" ht="38" customHeight="1">
      <x:c r="A43" s="354" t="n">
        <x:v>38</x:v>
      </x:c>
      <x:c r="B43" s="338" t="str">
        <x:v>Distributed tracing and FM API observability</x:v>
      </x:c>
      <x:c r="C43" s="355" t="n">
        <x:v>2</x:v>
      </x:c>
      <x:c r="D43" s="338" t="str">
        <x:v>Layer 2 — Prompt systems and application interaction</x:v>
      </x:c>
      <x:c r="E43" s="338" t="str">
        <x:v>3, 32, 36</x:v>
      </x:c>
      <x:c r="F43" s="338" t="str">
        <x:v>Level 3 — Apply/Implement</x:v>
      </x:c>
      <x:c r="G43" s="338" t="str">
        <x:v>Hard</x:v>
      </x:c>
      <x:c r="H43" s="355" t="str">
        <x:f>IF(COUNTIF('Initial Diagnostic'!$D$6:$D$65,A43)=0,"Not assessed",IF(COUNTIFS('Initial Diagnostic'!$D$6:$D$65,A43,'Initial Diagnostic'!$P$6:$P$65,"Gap")&gt;0,"Gap",IF(COUNTIFS('Initial Diagnostic'!$D$6:$D$65,A43,'Initial Diagnostic'!$P$6:$P$65,"Pass")&gt;0,"Passed","Not scored")))</x:f>
        <x:v>Not assessed</x:v>
      </x:c>
      <x:c r="I43" s="360" t="str"/>
      <x:c r="J43" s="360" t="str">
        <x:v>Not Started</x:v>
      </x:c>
      <x:c r="K43" s="360" t="str"/>
      <x:c r="L43" s="360" t="str"/>
      <x:c r="M43" s="360" t="str"/>
      <x:c r="N43" s="360" t="str"/>
      <x:c r="O43" s="355" t="str">
        <x:f>IF(OR(J43="Passed",J43="Mastered"),"Yes",IF(G43="Soft","Not required yet","No"))</x:f>
        <x:v>No</x:v>
      </x:c>
      <x:c r="P43" s="371" t="str"/>
      <x:c r="Q43" s="344" t="str"/>
      <x:c r="R43" s="338" t="str">
        <x:f>IF(AND(G43="Hard",O43&lt;&gt;"Yes"),"Potentially blocks dependent topics","")</x:f>
        <x:v>Potentially blocks dependent topics</x:v>
      </x:c>
      <x:c r="S43" s="339" t="str">
        <x:f>IF(J43="Mastered","Spaced review",IF(J43="Passed","Proceed to next eligible topic",IF(J43="Remediation","Complete targeted remediation",IF(H43="Gap","Start assigned learning method",IF(H43="Passed","Confirm with topic-level assessment","Not yet assessed")))))</x:f>
        <x:v>Not yet assessed</x:v>
      </x:c>
    </x:row>
    <x:row r="44" ht="38" customHeight="1">
      <x:c r="A44" s="354" t="n">
        <x:v>39</x:v>
      </x:c>
      <x:c r="B44" s="338" t="str">
        <x:v>Detailed model benchmarking and capability evaluation</x:v>
      </x:c>
      <x:c r="C44" s="355" t="n">
        <x:v>3</x:v>
      </x:c>
      <x:c r="D44" s="338" t="str">
        <x:v>Layer 3 — Models, routing, and deployment</x:v>
      </x:c>
      <x:c r="E44" s="338" t="str">
        <x:v>7, 10</x:v>
      </x:c>
      <x:c r="F44" s="338" t="str">
        <x:v>Level 4 — Select/Diagnose</x:v>
      </x:c>
      <x:c r="G44" s="338" t="str">
        <x:v>Hard</x:v>
      </x:c>
      <x:c r="H44" s="355" t="str">
        <x:f>IF(COUNTIF('Initial Diagnostic'!$D$6:$D$65,A44)=0,"Not assessed",IF(COUNTIFS('Initial Diagnostic'!$D$6:$D$65,A44,'Initial Diagnostic'!$P$6:$P$65,"Gap")&gt;0,"Gap",IF(COUNTIFS('Initial Diagnostic'!$D$6:$D$65,A44,'Initial Diagnostic'!$P$6:$P$65,"Pass")&gt;0,"Passed","Not scored")))</x:f>
        <x:v>Not assessed</x:v>
      </x:c>
      <x:c r="I44" s="360" t="str"/>
      <x:c r="J44" s="360" t="str">
        <x:v>Not Started</x:v>
      </x:c>
      <x:c r="K44" s="360" t="str"/>
      <x:c r="L44" s="360" t="str"/>
      <x:c r="M44" s="360" t="str"/>
      <x:c r="N44" s="360" t="str"/>
      <x:c r="O44" s="355" t="str">
        <x:f>IF(OR(J44="Passed",J44="Mastered"),"Yes",IF(G44="Soft","Not required yet","No"))</x:f>
        <x:v>No</x:v>
      </x:c>
      <x:c r="P44" s="371" t="str"/>
      <x:c r="Q44" s="344" t="str"/>
      <x:c r="R44" s="338" t="str">
        <x:f>IF(AND(G44="Hard",O44&lt;&gt;"Yes"),"Potentially blocks dependent topics","")</x:f>
        <x:v>Potentially blocks dependent topics</x:v>
      </x:c>
      <x:c r="S44" s="339" t="str">
        <x:f>IF(J44="Mastered","Spaced review",IF(J44="Passed","Proceed to next eligible topic",IF(J44="Remediation","Complete targeted remediation",IF(H44="Gap","Start assigned learning method",IF(H44="Passed","Confirm with topic-level assessment","Not yet assessed")))))</x:f>
        <x:v>Not yet assessed</x:v>
      </x:c>
    </x:row>
    <x:row r="45" ht="38" customHeight="1">
      <x:c r="A45" s="354" t="n">
        <x:v>40</x:v>
      </x:c>
      <x:c r="B45" s="338" t="str">
        <x:v>Cost–quality–latency model-selection trade-offs</x:v>
      </x:c>
      <x:c r="C45" s="355" t="n">
        <x:v>3</x:v>
      </x:c>
      <x:c r="D45" s="338" t="str">
        <x:v>Layer 3 — Models, routing, and deployment</x:v>
      </x:c>
      <x:c r="E45" s="338" t="str">
        <x:v>2, 7, 10, 39</x:v>
      </x:c>
      <x:c r="F45" s="338" t="str">
        <x:v>Level 4 — Select/Diagnose</x:v>
      </x:c>
      <x:c r="G45" s="338" t="str">
        <x:v>Hard</x:v>
      </x:c>
      <x:c r="H45" s="355" t="str">
        <x:f>IF(COUNTIF('Initial Diagnostic'!$D$6:$D$65,A45)=0,"Not assessed",IF(COUNTIFS('Initial Diagnostic'!$D$6:$D$65,A45,'Initial Diagnostic'!$P$6:$P$65,"Gap")&gt;0,"Gap",IF(COUNTIFS('Initial Diagnostic'!$D$6:$D$65,A45,'Initial Diagnostic'!$P$6:$P$65,"Pass")&gt;0,"Passed","Not scored")))</x:f>
        <x:v>Not scored</x:v>
      </x:c>
      <x:c r="I45" s="360" t="str"/>
      <x:c r="J45" s="360" t="str">
        <x:v>Not Started</x:v>
      </x:c>
      <x:c r="K45" s="360" t="str"/>
      <x:c r="L45" s="360" t="str"/>
      <x:c r="M45" s="360" t="str"/>
      <x:c r="N45" s="360" t="str"/>
      <x:c r="O45" s="355" t="str">
        <x:f>IF(OR(J45="Passed",J45="Mastered"),"Yes",IF(G45="Soft","Not required yet","No"))</x:f>
        <x:v>No</x:v>
      </x:c>
      <x:c r="P45" s="371" t="str"/>
      <x:c r="Q45" s="344" t="str"/>
      <x:c r="R45" s="338" t="str">
        <x:f>IF(AND(G45="Hard",O45&lt;&gt;"Yes"),"Potentially blocks dependent topics","")</x:f>
        <x:v>Potentially blocks dependent topics</x:v>
      </x:c>
      <x:c r="S45" s="339" t="str">
        <x:f>IF(J45="Mastered","Spaced review",IF(J45="Passed","Proceed to next eligible topic",IF(J45="Remediation","Complete targeted remediation",IF(H45="Gap","Start assigned learning method",IF(H45="Passed","Confirm with topic-level assessment","Not yet assessed")))))</x:f>
        <x:v>Not yet assessed</x:v>
      </x:c>
    </x:row>
    <x:row r="46" ht="38" customHeight="1">
      <x:c r="A46" s="354" t="n">
        <x:v>41</x:v>
      </x:c>
      <x:c r="B46" s="338" t="str">
        <x:v>Static and dynamic model routing</x:v>
      </x:c>
      <x:c r="C46" s="355" t="n">
        <x:v>3</x:v>
      </x:c>
      <x:c r="D46" s="338" t="str">
        <x:v>Layer 3 — Models, routing, and deployment</x:v>
      </x:c>
      <x:c r="E46" s="338" t="str">
        <x:v>32, 39, 40</x:v>
      </x:c>
      <x:c r="F46" s="338" t="str">
        <x:v>Level 3 — Apply/Implement</x:v>
      </x:c>
      <x:c r="G46" s="338" t="str">
        <x:v>Hard</x:v>
      </x:c>
      <x:c r="H46" s="355" t="str">
        <x:f>IF(COUNTIF('Initial Diagnostic'!$D$6:$D$65,A46)=0,"Not assessed",IF(COUNTIFS('Initial Diagnostic'!$D$6:$D$65,A46,'Initial Diagnostic'!$P$6:$P$65,"Gap")&gt;0,"Gap",IF(COUNTIFS('Initial Diagnostic'!$D$6:$D$65,A46,'Initial Diagnostic'!$P$6:$P$65,"Pass")&gt;0,"Passed","Not scored")))</x:f>
        <x:v>Not scored</x:v>
      </x:c>
      <x:c r="I46" s="360" t="str"/>
      <x:c r="J46" s="360" t="str">
        <x:v>Not Started</x:v>
      </x:c>
      <x:c r="K46" s="360" t="str"/>
      <x:c r="L46" s="360" t="str"/>
      <x:c r="M46" s="360" t="str"/>
      <x:c r="N46" s="360" t="str"/>
      <x:c r="O46" s="355" t="str">
        <x:f>IF(OR(J46="Passed",J46="Mastered"),"Yes",IF(G46="Soft","Not required yet","No"))</x:f>
        <x:v>No</x:v>
      </x:c>
      <x:c r="P46" s="371" t="str"/>
      <x:c r="Q46" s="344" t="str"/>
      <x:c r="R46" s="338" t="str">
        <x:f>IF(AND(G46="Hard",O46&lt;&gt;"Yes"),"Potentially blocks dependent topics","")</x:f>
        <x:v>Potentially blocks dependent topics</x:v>
      </x:c>
      <x:c r="S46" s="339" t="str">
        <x:f>IF(J46="Mastered","Spaced review",IF(J46="Passed","Proceed to next eligible topic",IF(J46="Remediation","Complete targeted remediation",IF(H46="Gap","Start assigned learning method",IF(H46="Passed","Confirm with topic-level assessment","Not yet assessed")))))</x:f>
        <x:v>Not yet assessed</x:v>
      </x:c>
    </x:row>
    <x:row r="47" ht="38" customHeight="1">
      <x:c r="A47" s="354" t="n">
        <x:v>42</x:v>
      </x:c>
      <x:c r="B47" s="338" t="str">
        <x:v>Model cascading and specialized-model selection</x:v>
      </x:c>
      <x:c r="C47" s="355" t="n">
        <x:v>3</x:v>
      </x:c>
      <x:c r="D47" s="338" t="str">
        <x:v>Layer 3 — Models, routing, and deployment</x:v>
      </x:c>
      <x:c r="E47" s="338" t="str">
        <x:v>40, 41</x:v>
      </x:c>
      <x:c r="F47" s="338" t="str">
        <x:v>Level 4 — Select/Diagnose</x:v>
      </x:c>
      <x:c r="G47" s="338" t="str">
        <x:v>Soft</x:v>
      </x:c>
      <x:c r="H47" s="355" t="str">
        <x:f>IF(COUNTIF('Initial Diagnostic'!$D$6:$D$65,A47)=0,"Not assessed",IF(COUNTIFS('Initial Diagnostic'!$D$6:$D$65,A47,'Initial Diagnostic'!$P$6:$P$65,"Gap")&gt;0,"Gap",IF(COUNTIFS('Initial Diagnostic'!$D$6:$D$65,A47,'Initial Diagnostic'!$P$6:$P$65,"Pass")&gt;0,"Passed","Not scored")))</x:f>
        <x:v>Not assessed</x:v>
      </x:c>
      <x:c r="I47" s="360" t="str"/>
      <x:c r="J47" s="360" t="str">
        <x:v>Not Started</x:v>
      </x:c>
      <x:c r="K47" s="360" t="str"/>
      <x:c r="L47" s="360" t="str"/>
      <x:c r="M47" s="360" t="str"/>
      <x:c r="N47" s="360" t="str"/>
      <x:c r="O47" s="355" t="str">
        <x:f>IF(OR(J47="Passed",J47="Mastered"),"Yes",IF(G47="Soft","Not required yet","No"))</x:f>
        <x:v>Not required yet</x:v>
      </x:c>
      <x:c r="P47" s="371" t="str"/>
      <x:c r="Q47" s="344" t="str"/>
      <x:c r="R47" s="338" t="str">
        <x:f>IF(AND(G47="Hard",O47&lt;&gt;"Yes"),"Potentially blocks dependent topics","")</x:f>
      </x:c>
      <x:c r="S47" s="339" t="str">
        <x:f>IF(J47="Mastered","Spaced review",IF(J47="Passed","Proceed to next eligible topic",IF(J47="Remediation","Complete targeted remediation",IF(H47="Gap","Start assigned learning method",IF(H47="Passed","Confirm with topic-level assessment","Not yet assessed")))))</x:f>
        <x:v>Not yet assessed</x:v>
      </x:c>
    </x:row>
    <x:row r="48" ht="38" customHeight="1">
      <x:c r="A48" s="354" t="n">
        <x:v>43</x:v>
      </x:c>
      <x:c r="B48" s="338" t="str">
        <x:v>Cross-Region inference and model resilience</x:v>
      </x:c>
      <x:c r="C48" s="355" t="n">
        <x:v>3</x:v>
      </x:c>
      <x:c r="D48" s="338" t="str">
        <x:v>Layer 3 — Models, routing, and deployment</x:v>
      </x:c>
      <x:c r="E48" s="338" t="str">
        <x:v>37, 41</x:v>
      </x:c>
      <x:c r="F48" s="338" t="str">
        <x:v>Level 4 — Select/Diagnose</x:v>
      </x:c>
      <x:c r="G48" s="338" t="str">
        <x:v>Hard</x:v>
      </x:c>
      <x:c r="H48" s="355" t="str">
        <x:f>IF(COUNTIF('Initial Diagnostic'!$D$6:$D$65,A48)=0,"Not assessed",IF(COUNTIFS('Initial Diagnostic'!$D$6:$D$65,A48,'Initial Diagnostic'!$P$6:$P$65,"Gap")&gt;0,"Gap",IF(COUNTIFS('Initial Diagnostic'!$D$6:$D$65,A48,'Initial Diagnostic'!$P$6:$P$65,"Pass")&gt;0,"Passed","Not scored")))</x:f>
        <x:v>Not scored</x:v>
      </x:c>
      <x:c r="I48" s="360" t="str"/>
      <x:c r="J48" s="360" t="str">
        <x:v>Not Started</x:v>
      </x:c>
      <x:c r="K48" s="360" t="str"/>
      <x:c r="L48" s="360" t="str"/>
      <x:c r="M48" s="360" t="str"/>
      <x:c r="N48" s="360" t="str"/>
      <x:c r="O48" s="355" t="str">
        <x:f>IF(OR(J48="Passed",J48="Mastered"),"Yes",IF(G48="Soft","Not required yet","No"))</x:f>
        <x:v>No</x:v>
      </x:c>
      <x:c r="P48" s="371" t="str"/>
      <x:c r="Q48" s="344" t="str"/>
      <x:c r="R48" s="338" t="str">
        <x:f>IF(AND(G48="Hard",O48&lt;&gt;"Yes"),"Potentially blocks dependent topics","")</x:f>
        <x:v>Potentially blocks dependent topics</x:v>
      </x:c>
      <x:c r="S48" s="339" t="str">
        <x:f>IF(J48="Mastered","Spaced review",IF(J48="Passed","Proceed to next eligible topic",IF(J48="Remediation","Complete targeted remediation",IF(H48="Gap","Start assigned learning method",IF(H48="Passed","Confirm with topic-level assessment","Not yet assessed")))))</x:f>
        <x:v>Not yet assessed</x:v>
      </x:c>
    </x:row>
    <x:row r="49" ht="38" customHeight="1">
      <x:c r="A49" s="354" t="n">
        <x:v>44</x:v>
      </x:c>
      <x:c r="B49" s="338" t="str">
        <x:v>On-demand and provisioned-throughput deployment</x:v>
      </x:c>
      <x:c r="C49" s="355" t="n">
        <x:v>3</x:v>
      </x:c>
      <x:c r="D49" s="338" t="str">
        <x:v>Layer 3 — Models, routing, and deployment</x:v>
      </x:c>
      <x:c r="E49" s="338" t="str">
        <x:v>7, 8, 32, 40</x:v>
      </x:c>
      <x:c r="F49" s="338" t="str">
        <x:v>Level 3 — Apply/Implement</x:v>
      </x:c>
      <x:c r="G49" s="338" t="str">
        <x:v>Hard</x:v>
      </x:c>
      <x:c r="H49" s="355" t="str">
        <x:f>IF(COUNTIF('Initial Diagnostic'!$D$6:$D$65,A49)=0,"Not assessed",IF(COUNTIFS('Initial Diagnostic'!$D$6:$D$65,A49,'Initial Diagnostic'!$P$6:$P$65,"Gap")&gt;0,"Gap",IF(COUNTIFS('Initial Diagnostic'!$D$6:$D$65,A49,'Initial Diagnostic'!$P$6:$P$65,"Pass")&gt;0,"Passed","Not scored")))</x:f>
        <x:v>Not scored</x:v>
      </x:c>
      <x:c r="I49" s="360" t="str"/>
      <x:c r="J49" s="360" t="str">
        <x:v>Not Started</x:v>
      </x:c>
      <x:c r="K49" s="360" t="str"/>
      <x:c r="L49" s="360" t="str"/>
      <x:c r="M49" s="360" t="str"/>
      <x:c r="N49" s="360" t="str"/>
      <x:c r="O49" s="355" t="str">
        <x:f>IF(OR(J49="Passed",J49="Mastered"),"Yes",IF(G49="Soft","Not required yet","No"))</x:f>
        <x:v>No</x:v>
      </x:c>
      <x:c r="P49" s="371" t="str"/>
      <x:c r="Q49" s="344" t="str"/>
      <x:c r="R49" s="338" t="str">
        <x:f>IF(AND(G49="Hard",O49&lt;&gt;"Yes"),"Potentially blocks dependent topics","")</x:f>
        <x:v>Potentially blocks dependent topics</x:v>
      </x:c>
      <x:c r="S49" s="339" t="str">
        <x:f>IF(J49="Mastered","Spaced review",IF(J49="Passed","Proceed to next eligible topic",IF(J49="Remediation","Complete targeted remediation",IF(H49="Gap","Start assigned learning method",IF(H49="Passed","Confirm with topic-level assessment","Not yet assessed")))))</x:f>
        <x:v>Not yet assessed</x:v>
      </x:c>
    </x:row>
    <x:row r="50" ht="38" customHeight="1">
      <x:c r="A50" s="354" t="n">
        <x:v>45</x:v>
      </x:c>
      <x:c r="B50" s="338" t="str">
        <x:v>SageMaker AI model endpoints</x:v>
      </x:c>
      <x:c r="C50" s="355" t="n">
        <x:v>3</x:v>
      </x:c>
      <x:c r="D50" s="338" t="str">
        <x:v>Layer 3 — Models, routing, and deployment</x:v>
      </x:c>
      <x:c r="E50" s="338" t="str">
        <x:v>3, 5, 44</x:v>
      </x:c>
      <x:c r="F50" s="338" t="str">
        <x:v>Level 3 — Apply/Implement</x:v>
      </x:c>
      <x:c r="G50" s="338" t="str">
        <x:v>Soft</x:v>
      </x:c>
      <x:c r="H50" s="355" t="str">
        <x:f>IF(COUNTIF('Initial Diagnostic'!$D$6:$D$65,A50)=0,"Not assessed",IF(COUNTIFS('Initial Diagnostic'!$D$6:$D$65,A50,'Initial Diagnostic'!$P$6:$P$65,"Gap")&gt;0,"Gap",IF(COUNTIFS('Initial Diagnostic'!$D$6:$D$65,A50,'Initial Diagnostic'!$P$6:$P$65,"Pass")&gt;0,"Passed","Not scored")))</x:f>
        <x:v>Not assessed</x:v>
      </x:c>
      <x:c r="I50" s="360" t="str"/>
      <x:c r="J50" s="360" t="str">
        <x:v>Not Started</x:v>
      </x:c>
      <x:c r="K50" s="360" t="str"/>
      <x:c r="L50" s="360" t="str"/>
      <x:c r="M50" s="360" t="str"/>
      <x:c r="N50" s="360" t="str"/>
      <x:c r="O50" s="355" t="str">
        <x:f>IF(OR(J50="Passed",J50="Mastered"),"Yes",IF(G50="Soft","Not required yet","No"))</x:f>
        <x:v>Not required yet</x:v>
      </x:c>
      <x:c r="P50" s="371" t="str"/>
      <x:c r="Q50" s="344" t="str"/>
      <x:c r="R50" s="338" t="str">
        <x:f>IF(AND(G50="Hard",O50&lt;&gt;"Yes"),"Potentially blocks dependent topics","")</x:f>
      </x:c>
      <x:c r="S50" s="339" t="str">
        <x:f>IF(J50="Mastered","Spaced review",IF(J50="Passed","Proceed to next eligible topic",IF(J50="Remediation","Complete targeted remediation",IF(H50="Gap","Start assigned learning method",IF(H50="Passed","Confirm with topic-level assessment","Not yet assessed")))))</x:f>
        <x:v>Not yet assessed</x:v>
      </x:c>
    </x:row>
    <x:row r="51" ht="38" customHeight="1">
      <x:c r="A51" s="354" t="n">
        <x:v>46</x:v>
      </x:c>
      <x:c r="B51" s="338" t="str">
        <x:v>LLM container, GPU, memory, loading, and token-processing requirements</x:v>
      </x:c>
      <x:c r="C51" s="355" t="n">
        <x:v>3</x:v>
      </x:c>
      <x:c r="D51" s="338" t="str">
        <x:v>Layer 3 — Models, routing, and deployment</x:v>
      </x:c>
      <x:c r="E51" s="338" t="str">
        <x:v>4, 44, 45</x:v>
      </x:c>
      <x:c r="F51" s="338" t="str">
        <x:v>Level 3 — Apply/Implement</x:v>
      </x:c>
      <x:c r="G51" s="338" t="str">
        <x:v>Soft</x:v>
      </x:c>
      <x:c r="H51" s="355" t="str">
        <x:f>IF(COUNTIF('Initial Diagnostic'!$D$6:$D$65,A51)=0,"Not assessed",IF(COUNTIFS('Initial Diagnostic'!$D$6:$D$65,A51,'Initial Diagnostic'!$P$6:$P$65,"Gap")&gt;0,"Gap",IF(COUNTIFS('Initial Diagnostic'!$D$6:$D$65,A51,'Initial Diagnostic'!$P$6:$P$65,"Pass")&gt;0,"Passed","Not scored")))</x:f>
        <x:v>Not assessed</x:v>
      </x:c>
      <x:c r="I51" s="360" t="str"/>
      <x:c r="J51" s="360" t="str">
        <x:v>Not Started</x:v>
      </x:c>
      <x:c r="K51" s="360" t="str"/>
      <x:c r="L51" s="360" t="str"/>
      <x:c r="M51" s="360" t="str"/>
      <x:c r="N51" s="360" t="str"/>
      <x:c r="O51" s="355" t="str">
        <x:f>IF(OR(J51="Passed",J51="Mastered"),"Yes",IF(G51="Soft","Not required yet","No"))</x:f>
        <x:v>Not required yet</x:v>
      </x:c>
      <x:c r="P51" s="371" t="str"/>
      <x:c r="Q51" s="344" t="str"/>
      <x:c r="R51" s="338" t="str">
        <x:f>IF(AND(G51="Hard",O51&lt;&gt;"Yes"),"Potentially blocks dependent topics","")</x:f>
      </x:c>
      <x:c r="S51" s="339" t="str">
        <x:f>IF(J51="Mastered","Spaced review",IF(J51="Passed","Proceed to next eligible topic",IF(J51="Remediation","Complete targeted remediation",IF(H51="Gap","Start assigned learning method",IF(H51="Passed","Confirm with topic-level assessment","Not yet assessed")))))</x:f>
        <x:v>Not yet assessed</x:v>
      </x:c>
    </x:row>
    <x:row r="52" ht="38" customHeight="1">
      <x:c r="A52" s="354" t="n">
        <x:v>47</x:v>
      </x:c>
      <x:c r="B52" s="338" t="str">
        <x:v>Model customization, fine-tuning, LoRA, and adapters</x:v>
      </x:c>
      <x:c r="C52" s="355" t="n">
        <x:v>3</x:v>
      </x:c>
      <x:c r="D52" s="338" t="str">
        <x:v>Layer 3 — Models, routing, and deployment</x:v>
      </x:c>
      <x:c r="E52" s="338" t="str">
        <x:v>1, 7, 10, 39, 45</x:v>
      </x:c>
      <x:c r="F52" s="338" t="str">
        <x:v>Level 3 — Apply/Implement</x:v>
      </x:c>
      <x:c r="G52" s="338" t="str">
        <x:v>Soft</x:v>
      </x:c>
      <x:c r="H52" s="355" t="str">
        <x:f>IF(COUNTIF('Initial Diagnostic'!$D$6:$D$65,A52)=0,"Not assessed",IF(COUNTIFS('Initial Diagnostic'!$D$6:$D$65,A52,'Initial Diagnostic'!$P$6:$P$65,"Gap")&gt;0,"Gap",IF(COUNTIFS('Initial Diagnostic'!$D$6:$D$65,A52,'Initial Diagnostic'!$P$6:$P$65,"Pass")&gt;0,"Passed","Not scored")))</x:f>
        <x:v>Not scored</x:v>
      </x:c>
      <x:c r="I52" s="360" t="str"/>
      <x:c r="J52" s="360" t="str">
        <x:v>Not Started</x:v>
      </x:c>
      <x:c r="K52" s="360" t="str"/>
      <x:c r="L52" s="360" t="str"/>
      <x:c r="M52" s="360" t="str"/>
      <x:c r="N52" s="360" t="str"/>
      <x:c r="O52" s="355" t="str">
        <x:f>IF(OR(J52="Passed",J52="Mastered"),"Yes",IF(G52="Soft","Not required yet","No"))</x:f>
        <x:v>Not required yet</x:v>
      </x:c>
      <x:c r="P52" s="371" t="str"/>
      <x:c r="Q52" s="344" t="str"/>
      <x:c r="R52" s="338" t="str">
        <x:f>IF(AND(G52="Hard",O52&lt;&gt;"Yes"),"Potentially blocks dependent topics","")</x:f>
      </x:c>
      <x:c r="S52" s="339" t="str">
        <x:f>IF(J52="Mastered","Spaced review",IF(J52="Passed","Proceed to next eligible topic",IF(J52="Remediation","Complete targeted remediation",IF(H52="Gap","Start assigned learning method",IF(H52="Passed","Confirm with topic-level assessment","Not yet assessed")))))</x:f>
        <x:v>Not yet assessed</x:v>
      </x:c>
    </x:row>
    <x:row r="53" ht="38" customHeight="1">
      <x:c r="A53" s="354" t="n">
        <x:v>48</x:v>
      </x:c>
      <x:c r="B53" s="338" t="str">
        <x:v>Model Registry, versioning, rollout, rollback, retirement, and lifecycle management</x:v>
      </x:c>
      <x:c r="C53" s="355" t="n">
        <x:v>3</x:v>
      </x:c>
      <x:c r="D53" s="338" t="str">
        <x:v>Layer 3 — Models, routing, and deployment</x:v>
      </x:c>
      <x:c r="E53" s="338" t="str">
        <x:v>29, 44, 45, 47</x:v>
      </x:c>
      <x:c r="F53" s="338" t="str">
        <x:v>Level 4 — Select/Diagnose</x:v>
      </x:c>
      <x:c r="G53" s="338" t="str">
        <x:v>Soft</x:v>
      </x:c>
      <x:c r="H53" s="355" t="str">
        <x:f>IF(COUNTIF('Initial Diagnostic'!$D$6:$D$65,A53)=0,"Not assessed",IF(COUNTIFS('Initial Diagnostic'!$D$6:$D$65,A53,'Initial Diagnostic'!$P$6:$P$65,"Gap")&gt;0,"Gap",IF(COUNTIFS('Initial Diagnostic'!$D$6:$D$65,A53,'Initial Diagnostic'!$P$6:$P$65,"Pass")&gt;0,"Passed","Not scored")))</x:f>
        <x:v>Not assessed</x:v>
      </x:c>
      <x:c r="I53" s="360" t="str"/>
      <x:c r="J53" s="360" t="str">
        <x:v>Not Started</x:v>
      </x:c>
      <x:c r="K53" s="360" t="str"/>
      <x:c r="L53" s="360" t="str"/>
      <x:c r="M53" s="360" t="str"/>
      <x:c r="N53" s="360" t="str"/>
      <x:c r="O53" s="355" t="str">
        <x:f>IF(OR(J53="Passed",J53="Mastered"),"Yes",IF(G53="Soft","Not required yet","No"))</x:f>
        <x:v>Not required yet</x:v>
      </x:c>
      <x:c r="P53" s="371" t="str"/>
      <x:c r="Q53" s="344" t="str"/>
      <x:c r="R53" s="338" t="str">
        <x:f>IF(AND(G53="Hard",O53&lt;&gt;"Yes"),"Potentially blocks dependent topics","")</x:f>
      </x:c>
      <x:c r="S53" s="339" t="str">
        <x:f>IF(J53="Mastered","Spaced review",IF(J53="Passed","Proceed to next eligible topic",IF(J53="Remediation","Complete targeted remediation",IF(H53="Gap","Start assigned learning method",IF(H53="Passed","Confirm with topic-level assessment","Not yet assessed")))))</x:f>
        <x:v>Not yet assessed</x:v>
      </x:c>
    </x:row>
    <x:row r="54" ht="38" customHeight="1">
      <x:c r="A54" s="354" t="n">
        <x:v>49</x:v>
      </x:c>
      <x:c r="B54" s="338" t="str">
        <x:v>GenAI application API design</x:v>
      </x:c>
      <x:c r="C54" s="355" t="n">
        <x:v>4</x:v>
      </x:c>
      <x:c r="D54" s="338" t="str">
        <x:v>Layer 4 — Application and enterprise integration</x:v>
      </x:c>
      <x:c r="E54" s="338" t="str">
        <x:v>32, 34, 35, 36, 37</x:v>
      </x:c>
      <x:c r="F54" s="338" t="str">
        <x:v>Level 3 — Apply/Implement</x:v>
      </x:c>
      <x:c r="G54" s="338" t="str">
        <x:v>Hard</x:v>
      </x:c>
      <x:c r="H54" s="355" t="str">
        <x:f>IF(COUNTIF('Initial Diagnostic'!$D$6:$D$65,A54)=0,"Not assessed",IF(COUNTIFS('Initial Diagnostic'!$D$6:$D$65,A54,'Initial Diagnostic'!$P$6:$P$65,"Gap")&gt;0,"Gap",IF(COUNTIFS('Initial Diagnostic'!$D$6:$D$65,A54,'Initial Diagnostic'!$P$6:$P$65,"Pass")&gt;0,"Passed","Not scored")))</x:f>
        <x:v>Not assessed</x:v>
      </x:c>
      <x:c r="I54" s="360" t="str"/>
      <x:c r="J54" s="360" t="str">
        <x:v>Not Started</x:v>
      </x:c>
      <x:c r="K54" s="360" t="str"/>
      <x:c r="L54" s="360" t="str"/>
      <x:c r="M54" s="360" t="str"/>
      <x:c r="N54" s="360" t="str"/>
      <x:c r="O54" s="355" t="str">
        <x:f>IF(OR(J54="Passed",J54="Mastered"),"Yes",IF(G54="Soft","Not required yet","No"))</x:f>
        <x:v>No</x:v>
      </x:c>
      <x:c r="P54" s="371" t="str"/>
      <x:c r="Q54" s="344" t="str"/>
      <x:c r="R54" s="338" t="str">
        <x:f>IF(AND(G54="Hard",O54&lt;&gt;"Yes"),"Potentially blocks dependent topics","")</x:f>
        <x:v>Potentially blocks dependent topics</x:v>
      </x:c>
      <x:c r="S54" s="339" t="str">
        <x:f>IF(J54="Mastered","Spaced review",IF(J54="Passed","Proceed to next eligible topic",IF(J54="Remediation","Complete targeted remediation",IF(H54="Gap","Start assigned learning method",IF(H54="Passed","Confirm with topic-level assessment","Not yet assessed")))))</x:f>
        <x:v>Not yet assessed</x:v>
      </x:c>
    </x:row>
    <x:row r="55" ht="38" customHeight="1">
      <x:c r="A55" s="354" t="n">
        <x:v>50</x:v>
      </x:c>
      <x:c r="B55" s="338" t="str">
        <x:v>UI, OpenAPI, Amplify, and low-code integration approaches</x:v>
      </x:c>
      <x:c r="C55" s="355" t="n">
        <x:v>4</x:v>
      </x:c>
      <x:c r="D55" s="338" t="str">
        <x:v>Layer 4 — Application and enterprise integration</x:v>
      </x:c>
      <x:c r="E55" s="338" t="str">
        <x:v>49</x:v>
      </x:c>
      <x:c r="F55" s="338" t="str">
        <x:v>Level 3 — Apply/Implement</x:v>
      </x:c>
      <x:c r="G55" s="338" t="str">
        <x:v>Soft</x:v>
      </x:c>
      <x:c r="H55" s="355" t="str">
        <x:f>IF(COUNTIF('Initial Diagnostic'!$D$6:$D$65,A55)=0,"Not assessed",IF(COUNTIFS('Initial Diagnostic'!$D$6:$D$65,A55,'Initial Diagnostic'!$P$6:$P$65,"Gap")&gt;0,"Gap",IF(COUNTIFS('Initial Diagnostic'!$D$6:$D$65,A55,'Initial Diagnostic'!$P$6:$P$65,"Pass")&gt;0,"Passed","Not scored")))</x:f>
        <x:v>Not assessed</x:v>
      </x:c>
      <x:c r="I55" s="360" t="str"/>
      <x:c r="J55" s="360" t="str">
        <x:v>Not Started</x:v>
      </x:c>
      <x:c r="K55" s="360" t="str"/>
      <x:c r="L55" s="360" t="str"/>
      <x:c r="M55" s="360" t="str"/>
      <x:c r="N55" s="360" t="str"/>
      <x:c r="O55" s="355" t="str">
        <x:f>IF(OR(J55="Passed",J55="Mastered"),"Yes",IF(G55="Soft","Not required yet","No"))</x:f>
        <x:v>Not required yet</x:v>
      </x:c>
      <x:c r="P55" s="371" t="str"/>
      <x:c r="Q55" s="344" t="str"/>
      <x:c r="R55" s="338" t="str">
        <x:f>IF(AND(G55="Hard",O55&lt;&gt;"Yes"),"Potentially blocks dependent topics","")</x:f>
      </x:c>
      <x:c r="S55" s="339" t="str">
        <x:f>IF(J55="Mastered","Spaced review",IF(J55="Passed","Proceed to next eligible topic",IF(J55="Remediation","Complete targeted remediation",IF(H55="Gap","Start assigned learning method",IF(H55="Passed","Confirm with topic-level assessment","Not yet assessed")))))</x:f>
        <x:v>Not yet assessed</x:v>
      </x:c>
    </x:row>
    <x:row r="56" ht="38" customHeight="1">
      <x:c r="A56" s="354" t="n">
        <x:v>51</x:v>
      </x:c>
      <x:c r="B56" s="338" t="str">
        <x:v>Business-application and document-processing integration</x:v>
      </x:c>
      <x:c r="C56" s="355" t="n">
        <x:v>4</x:v>
      </x:c>
      <x:c r="D56" s="338" t="str">
        <x:v>Layer 4 — Application and enterprise integration</x:v>
      </x:c>
      <x:c r="E56" s="338" t="str">
        <x:v>20, 31, 49, 50</x:v>
      </x:c>
      <x:c r="F56" s="338" t="str">
        <x:v>Level 3 — Apply/Implement</x:v>
      </x:c>
      <x:c r="G56" s="338" t="str">
        <x:v>Soft</x:v>
      </x:c>
      <x:c r="H56" s="355" t="str">
        <x:f>IF(COUNTIF('Initial Diagnostic'!$D$6:$D$65,A56)=0,"Not assessed",IF(COUNTIFS('Initial Diagnostic'!$D$6:$D$65,A56,'Initial Diagnostic'!$P$6:$P$65,"Gap")&gt;0,"Gap",IF(COUNTIFS('Initial Diagnostic'!$D$6:$D$65,A56,'Initial Diagnostic'!$P$6:$P$65,"Pass")&gt;0,"Passed","Not scored")))</x:f>
        <x:v>Not assessed</x:v>
      </x:c>
      <x:c r="I56" s="360" t="str"/>
      <x:c r="J56" s="360" t="str">
        <x:v>Not Started</x:v>
      </x:c>
      <x:c r="K56" s="360" t="str"/>
      <x:c r="L56" s="360" t="str"/>
      <x:c r="M56" s="360" t="str"/>
      <x:c r="N56" s="360" t="str"/>
      <x:c r="O56" s="355" t="str">
        <x:f>IF(OR(J56="Passed",J56="Mastered"),"Yes",IF(G56="Soft","Not required yet","No"))</x:f>
        <x:v>Not required yet</x:v>
      </x:c>
      <x:c r="P56" s="371" t="str"/>
      <x:c r="Q56" s="344" t="str"/>
      <x:c r="R56" s="338" t="str">
        <x:f>IF(AND(G56="Hard",O56&lt;&gt;"Yes"),"Potentially blocks dependent topics","")</x:f>
      </x:c>
      <x:c r="S56" s="339" t="str">
        <x:f>IF(J56="Mastered","Spaced review",IF(J56="Passed","Proceed to next eligible topic",IF(J56="Remediation","Complete targeted remediation",IF(H56="Gap","Start assigned learning method",IF(H56="Passed","Confirm with topic-level assessment","Not yet assessed")))))</x:f>
        <x:v>Not yet assessed</x:v>
      </x:c>
    </x:row>
    <x:row r="57" ht="38" customHeight="1">
      <x:c r="A57" s="354" t="n">
        <x:v>52</x:v>
      </x:c>
      <x:c r="B57" s="338" t="str">
        <x:v>Event-driven GenAI application patterns</x:v>
      </x:c>
      <x:c r="C57" s="355" t="n">
        <x:v>4</x:v>
      </x:c>
      <x:c r="D57" s="338" t="str">
        <x:v>Layer 4 — Application and enterprise integration</x:v>
      </x:c>
      <x:c r="E57" s="338" t="str">
        <x:v>4, 33, 49</x:v>
      </x:c>
      <x:c r="F57" s="338" t="str">
        <x:v>Level 3 — Apply/Implement</x:v>
      </x:c>
      <x:c r="G57" s="338" t="str">
        <x:v>Hard</x:v>
      </x:c>
      <x:c r="H57" s="355" t="str">
        <x:f>IF(COUNTIF('Initial Diagnostic'!$D$6:$D$65,A57)=0,"Not assessed",IF(COUNTIFS('Initial Diagnostic'!$D$6:$D$65,A57,'Initial Diagnostic'!$P$6:$P$65,"Gap")&gt;0,"Gap",IF(COUNTIFS('Initial Diagnostic'!$D$6:$D$65,A57,'Initial Diagnostic'!$P$6:$P$65,"Pass")&gt;0,"Passed","Not scored")))</x:f>
        <x:v>Not scored</x:v>
      </x:c>
      <x:c r="I57" s="360" t="str"/>
      <x:c r="J57" s="360" t="str">
        <x:v>Not Started</x:v>
      </x:c>
      <x:c r="K57" s="360" t="str"/>
      <x:c r="L57" s="360" t="str"/>
      <x:c r="M57" s="360" t="str"/>
      <x:c r="N57" s="360" t="str"/>
      <x:c r="O57" s="355" t="str">
        <x:f>IF(OR(J57="Passed",J57="Mastered"),"Yes",IF(G57="Soft","Not required yet","No"))</x:f>
        <x:v>No</x:v>
      </x:c>
      <x:c r="P57" s="371" t="str"/>
      <x:c r="Q57" s="344" t="str"/>
      <x:c r="R57" s="338" t="str">
        <x:f>IF(AND(G57="Hard",O57&lt;&gt;"Yes"),"Potentially blocks dependent topics","")</x:f>
        <x:v>Potentially blocks dependent topics</x:v>
      </x:c>
      <x:c r="S57" s="339" t="str">
        <x:f>IF(J57="Mastered","Spaced review",IF(J57="Passed","Proceed to next eligible topic",IF(J57="Remediation","Complete targeted remediation",IF(H57="Gap","Start assigned learning method",IF(H57="Passed","Confirm with topic-level assessment","Not yet assessed")))))</x:f>
        <x:v>Not yet assessed</x:v>
      </x:c>
    </x:row>
    <x:row r="58" ht="38" customHeight="1">
      <x:c r="A58" s="354" t="n">
        <x:v>53</x:v>
      </x:c>
      <x:c r="B58" s="338" t="str">
        <x:v>Legacy-system and enterprise-system integration</x:v>
      </x:c>
      <x:c r="C58" s="355" t="n">
        <x:v>4</x:v>
      </x:c>
      <x:c r="D58" s="338" t="str">
        <x:v>Layer 4 — Application and enterprise integration</x:v>
      </x:c>
      <x:c r="E58" s="338" t="str">
        <x:v>4, 5, 49, 52</x:v>
      </x:c>
      <x:c r="F58" s="338" t="str">
        <x:v>Level 4 — Select/Diagnose</x:v>
      </x:c>
      <x:c r="G58" s="338" t="str">
        <x:v>Hard</x:v>
      </x:c>
      <x:c r="H58" s="355" t="str">
        <x:f>IF(COUNTIF('Initial Diagnostic'!$D$6:$D$65,A58)=0,"Not assessed",IF(COUNTIFS('Initial Diagnostic'!$D$6:$D$65,A58,'Initial Diagnostic'!$P$6:$P$65,"Gap")&gt;0,"Gap",IF(COUNTIFS('Initial Diagnostic'!$D$6:$D$65,A58,'Initial Diagnostic'!$P$6:$P$65,"Pass")&gt;0,"Passed","Not scored")))</x:f>
        <x:v>Not scored</x:v>
      </x:c>
      <x:c r="I58" s="360" t="str"/>
      <x:c r="J58" s="360" t="str">
        <x:v>Not Started</x:v>
      </x:c>
      <x:c r="K58" s="360" t="str"/>
      <x:c r="L58" s="360" t="str"/>
      <x:c r="M58" s="360" t="str"/>
      <x:c r="N58" s="360" t="str"/>
      <x:c r="O58" s="355" t="str">
        <x:f>IF(OR(J58="Passed",J58="Mastered"),"Yes",IF(G58="Soft","Not required yet","No"))</x:f>
        <x:v>No</x:v>
      </x:c>
      <x:c r="P58" s="371" t="str"/>
      <x:c r="Q58" s="344" t="str"/>
      <x:c r="R58" s="338" t="str">
        <x:f>IF(AND(G58="Hard",O58&lt;&gt;"Yes"),"Potentially blocks dependent topics","")</x:f>
        <x:v>Potentially blocks dependent topics</x:v>
      </x:c>
      <x:c r="S58" s="339" t="str">
        <x:f>IF(J58="Mastered","Spaced review",IF(J58="Passed","Proceed to next eligible topic",IF(J58="Remediation","Complete targeted remediation",IF(H58="Gap","Start assigned learning method",IF(H58="Passed","Confirm with topic-level assessment","Not yet assessed")))))</x:f>
        <x:v>Not yet assessed</x:v>
      </x:c>
    </x:row>
    <x:row r="59" ht="38" customHeight="1">
      <x:c r="A59" s="354" t="n">
        <x:v>54</x:v>
      </x:c>
      <x:c r="B59" s="338" t="str">
        <x:v>Identity federation and role-based FM and data access</x:v>
      </x:c>
      <x:c r="C59" s="355" t="n">
        <x:v>4</x:v>
      </x:c>
      <x:c r="D59" s="338" t="str">
        <x:v>Layer 4 — Application and enterprise integration</x:v>
      </x:c>
      <x:c r="E59" s="338" t="str">
        <x:v>5, 49, 53</x:v>
      </x:c>
      <x:c r="F59" s="338" t="str">
        <x:v>Level 3 — Apply/Implement</x:v>
      </x:c>
      <x:c r="G59" s="338" t="str">
        <x:v>Hard</x:v>
      </x:c>
      <x:c r="H59" s="355" t="str">
        <x:f>IF(COUNTIF('Initial Diagnostic'!$D$6:$D$65,A59)=0,"Not assessed",IF(COUNTIFS('Initial Diagnostic'!$D$6:$D$65,A59,'Initial Diagnostic'!$P$6:$P$65,"Gap")&gt;0,"Gap",IF(COUNTIFS('Initial Diagnostic'!$D$6:$D$65,A59,'Initial Diagnostic'!$P$6:$P$65,"Pass")&gt;0,"Passed","Not scored")))</x:f>
        <x:v>Not scored</x:v>
      </x:c>
      <x:c r="I59" s="360" t="str"/>
      <x:c r="J59" s="360" t="str">
        <x:v>Not Started</x:v>
      </x:c>
      <x:c r="K59" s="360" t="str"/>
      <x:c r="L59" s="360" t="str"/>
      <x:c r="M59" s="360" t="str"/>
      <x:c r="N59" s="360" t="str"/>
      <x:c r="O59" s="355" t="str">
        <x:f>IF(OR(J59="Passed",J59="Mastered"),"Yes",IF(G59="Soft","Not required yet","No"))</x:f>
        <x:v>No</x:v>
      </x:c>
      <x:c r="P59" s="371" t="str"/>
      <x:c r="Q59" s="344" t="str"/>
      <x:c r="R59" s="338" t="str">
        <x:f>IF(AND(G59="Hard",O59&lt;&gt;"Yes"),"Potentially blocks dependent topics","")</x:f>
        <x:v>Potentially blocks dependent topics</x:v>
      </x:c>
      <x:c r="S59" s="339" t="str">
        <x:f>IF(J59="Mastered","Spaced review",IF(J59="Passed","Proceed to next eligible topic",IF(J59="Remediation","Complete targeted remediation",IF(H59="Gap","Start assigned learning method",IF(H59="Passed","Confirm with topic-level assessment","Not yet assessed")))))</x:f>
        <x:v>Not yet assessed</x:v>
      </x:c>
    </x:row>
    <x:row r="60" ht="38" customHeight="1">
      <x:c r="A60" s="354" t="n">
        <x:v>55</x:v>
      </x:c>
      <x:c r="B60" s="338" t="str">
        <x:v>Hybrid, on-premises, edge, and jurisdictional architectures</x:v>
      </x:c>
      <x:c r="C60" s="355" t="n">
        <x:v>4</x:v>
      </x:c>
      <x:c r="D60" s="338" t="str">
        <x:v>Layer 4 — Application and enterprise integration</x:v>
      </x:c>
      <x:c r="E60" s="338" t="str">
        <x:v>5, 53, 54</x:v>
      </x:c>
      <x:c r="F60" s="338" t="str">
        <x:v>Level 5 — Design/Defend</x:v>
      </x:c>
      <x:c r="G60" s="338" t="str">
        <x:v>Hard</x:v>
      </x:c>
      <x:c r="H60" s="355" t="str">
        <x:f>IF(COUNTIF('Initial Diagnostic'!$D$6:$D$65,A60)=0,"Not assessed",IF(COUNTIFS('Initial Diagnostic'!$D$6:$D$65,A60,'Initial Diagnostic'!$P$6:$P$65,"Gap")&gt;0,"Gap",IF(COUNTIFS('Initial Diagnostic'!$D$6:$D$65,A60,'Initial Diagnostic'!$P$6:$P$65,"Pass")&gt;0,"Passed","Not scored")))</x:f>
        <x:v>Not scored</x:v>
      </x:c>
      <x:c r="I60" s="360" t="str"/>
      <x:c r="J60" s="360" t="str">
        <x:v>Not Started</x:v>
      </x:c>
      <x:c r="K60" s="360" t="str"/>
      <x:c r="L60" s="360" t="str"/>
      <x:c r="M60" s="360" t="str"/>
      <x:c r="N60" s="360" t="str"/>
      <x:c r="O60" s="355" t="str">
        <x:f>IF(OR(J60="Passed",J60="Mastered"),"Yes",IF(G60="Soft","Not required yet","No"))</x:f>
        <x:v>No</x:v>
      </x:c>
      <x:c r="P60" s="371" t="str"/>
      <x:c r="Q60" s="344" t="str"/>
      <x:c r="R60" s="338" t="str">
        <x:f>IF(AND(G60="Hard",O60&lt;&gt;"Yes"),"Potentially blocks dependent topics","")</x:f>
        <x:v>Potentially blocks dependent topics</x:v>
      </x:c>
      <x:c r="S60" s="339" t="str">
        <x:f>IF(J60="Mastered","Spaced review",IF(J60="Passed","Proceed to next eligible topic",IF(J60="Remediation","Complete targeted remediation",IF(H60="Gap","Start assigned learning method",IF(H60="Passed","Confirm with topic-level assessment","Not yet assessed")))))</x:f>
        <x:v>Not yet assessed</x:v>
      </x:c>
    </x:row>
    <x:row r="61" ht="38" customHeight="1">
      <x:c r="A61" s="354" t="n">
        <x:v>56</x:v>
      </x:c>
      <x:c r="B61" s="338" t="str">
        <x:v>GenAI gateway architecture</x:v>
      </x:c>
      <x:c r="C61" s="355" t="n">
        <x:v>4</x:v>
      </x:c>
      <x:c r="D61" s="338" t="str">
        <x:v>Layer 4 — Application and enterprise integration</x:v>
      </x:c>
      <x:c r="E61" s="338" t="str">
        <x:v>53, 54, 55</x:v>
      </x:c>
      <x:c r="F61" s="338" t="str">
        <x:v>Level 5 — Design/Defend</x:v>
      </x:c>
      <x:c r="G61" s="338" t="str">
        <x:v>Hard</x:v>
      </x:c>
      <x:c r="H61" s="355" t="str">
        <x:f>IF(COUNTIF('Initial Diagnostic'!$D$6:$D$65,A61)=0,"Not assessed",IF(COUNTIFS('Initial Diagnostic'!$D$6:$D$65,A61,'Initial Diagnostic'!$P$6:$P$65,"Gap")&gt;0,"Gap",IF(COUNTIFS('Initial Diagnostic'!$D$6:$D$65,A61,'Initial Diagnostic'!$P$6:$P$65,"Pass")&gt;0,"Passed","Not scored")))</x:f>
        <x:v>Not scored</x:v>
      </x:c>
      <x:c r="I61" s="360" t="str"/>
      <x:c r="J61" s="360" t="str">
        <x:v>Not Started</x:v>
      </x:c>
      <x:c r="K61" s="360" t="str"/>
      <x:c r="L61" s="360" t="str"/>
      <x:c r="M61" s="360" t="str"/>
      <x:c r="N61" s="360" t="str"/>
      <x:c r="O61" s="355" t="str">
        <x:f>IF(OR(J61="Passed",J61="Mastered"),"Yes",IF(G61="Soft","Not required yet","No"))</x:f>
        <x:v>No</x:v>
      </x:c>
      <x:c r="P61" s="371" t="str"/>
      <x:c r="Q61" s="344" t="str"/>
      <x:c r="R61" s="338" t="str">
        <x:f>IF(AND(G61="Hard",O61&lt;&gt;"Yes"),"Potentially blocks dependent topics","")</x:f>
        <x:v>Potentially blocks dependent topics</x:v>
      </x:c>
      <x:c r="S61" s="339" t="str">
        <x:f>IF(J61="Mastered","Spaced review",IF(J61="Passed","Proceed to next eligible topic",IF(J61="Remediation","Complete targeted remediation",IF(H61="Gap","Start assigned learning method",IF(H61="Passed","Confirm with topic-level assessment","Not yet assessed")))))</x:f>
        <x:v>Not yet assessed</x:v>
      </x:c>
    </x:row>
    <x:row r="62" ht="38" customHeight="1">
      <x:c r="A62" s="354" t="n">
        <x:v>57</x:v>
      </x:c>
      <x:c r="B62" s="338" t="str">
        <x:v>Infrastructure as code</x:v>
      </x:c>
      <x:c r="C62" s="355" t="n">
        <x:v>4</x:v>
      </x:c>
      <x:c r="D62" s="338" t="str">
        <x:v>Layer 4 — Application and enterprise integration</x:v>
      </x:c>
      <x:c r="E62" s="338" t="str">
        <x:v>3, 4, 5</x:v>
      </x:c>
      <x:c r="F62" s="338" t="str">
        <x:v>Level 3 — Apply/Implement</x:v>
      </x:c>
      <x:c r="G62" s="338" t="str">
        <x:v>Soft</x:v>
      </x:c>
      <x:c r="H62" s="355" t="str">
        <x:f>IF(COUNTIF('Initial Diagnostic'!$D$6:$D$65,A62)=0,"Not assessed",IF(COUNTIFS('Initial Diagnostic'!$D$6:$D$65,A62,'Initial Diagnostic'!$P$6:$P$65,"Gap")&gt;0,"Gap",IF(COUNTIFS('Initial Diagnostic'!$D$6:$D$65,A62,'Initial Diagnostic'!$P$6:$P$65,"Pass")&gt;0,"Passed","Not scored")))</x:f>
        <x:v>Not assessed</x:v>
      </x:c>
      <x:c r="I62" s="360" t="str"/>
      <x:c r="J62" s="360" t="str">
        <x:v>Not Started</x:v>
      </x:c>
      <x:c r="K62" s="360" t="str"/>
      <x:c r="L62" s="360" t="str"/>
      <x:c r="M62" s="360" t="str"/>
      <x:c r="N62" s="360" t="str"/>
      <x:c r="O62" s="355" t="str">
        <x:f>IF(OR(J62="Passed",J62="Mastered"),"Yes",IF(G62="Soft","Not required yet","No"))</x:f>
        <x:v>Not required yet</x:v>
      </x:c>
      <x:c r="P62" s="371" t="str"/>
      <x:c r="Q62" s="344" t="str"/>
      <x:c r="R62" s="338" t="str">
        <x:f>IF(AND(G62="Hard",O62&lt;&gt;"Yes"),"Potentially blocks dependent topics","")</x:f>
      </x:c>
      <x:c r="S62" s="339" t="str">
        <x:f>IF(J62="Mastered","Spaced review",IF(J62="Passed","Proceed to next eligible topic",IF(J62="Remediation","Complete targeted remediation",IF(H62="Gap","Start assigned learning method",IF(H62="Passed","Confirm with topic-level assessment","Not yet assessed")))))</x:f>
        <x:v>Not yet assessed</x:v>
      </x:c>
    </x:row>
    <x:row r="63" ht="38" customHeight="1">
      <x:c r="A63" s="354" t="n">
        <x:v>58</x:v>
      </x:c>
      <x:c r="B63" s="338" t="str">
        <x:v>CI/CD for models, prompts, agents, and application components</x:v>
      </x:c>
      <x:c r="C63" s="355" t="n">
        <x:v>4</x:v>
      </x:c>
      <x:c r="D63" s="338" t="str">
        <x:v>Layer 4 — Application and enterprise integration</x:v>
      </x:c>
      <x:c r="E63" s="338" t="str">
        <x:v>29, 48, 49, 57</x:v>
      </x:c>
      <x:c r="F63" s="338" t="str">
        <x:v>Level 3 — Apply/Implement</x:v>
      </x:c>
      <x:c r="G63" s="338" t="str">
        <x:v>Hard</x:v>
      </x:c>
      <x:c r="H63" s="355" t="str">
        <x:f>IF(COUNTIF('Initial Diagnostic'!$D$6:$D$65,A63)=0,"Not assessed",IF(COUNTIFS('Initial Diagnostic'!$D$6:$D$65,A63,'Initial Diagnostic'!$P$6:$P$65,"Gap")&gt;0,"Gap",IF(COUNTIFS('Initial Diagnostic'!$D$6:$D$65,A63,'Initial Diagnostic'!$P$6:$P$65,"Pass")&gt;0,"Passed","Not scored")))</x:f>
        <x:v>Not assessed</x:v>
      </x:c>
      <x:c r="I63" s="360" t="str"/>
      <x:c r="J63" s="360" t="str">
        <x:v>Not Started</x:v>
      </x:c>
      <x:c r="K63" s="360" t="str"/>
      <x:c r="L63" s="360" t="str"/>
      <x:c r="M63" s="360" t="str"/>
      <x:c r="N63" s="360" t="str"/>
      <x:c r="O63" s="355" t="str">
        <x:f>IF(OR(J63="Passed",J63="Mastered"),"Yes",IF(G63="Soft","Not required yet","No"))</x:f>
        <x:v>No</x:v>
      </x:c>
      <x:c r="P63" s="371" t="str"/>
      <x:c r="Q63" s="344" t="str"/>
      <x:c r="R63" s="338" t="str">
        <x:f>IF(AND(G63="Hard",O63&lt;&gt;"Yes"),"Potentially blocks dependent topics","")</x:f>
        <x:v>Potentially blocks dependent topics</x:v>
      </x:c>
      <x:c r="S63" s="339" t="str">
        <x:f>IF(J63="Mastered","Spaced review",IF(J63="Passed","Proceed to next eligible topic",IF(J63="Remediation","Complete targeted remediation",IF(H63="Gap","Start assigned learning method",IF(H63="Passed","Confirm with topic-level assessment","Not yet assessed")))))</x:f>
        <x:v>Not yet assessed</x:v>
      </x:c>
    </x:row>
    <x:row r="64" ht="38" customHeight="1">
      <x:c r="A64" s="354" t="n">
        <x:v>59</x:v>
      </x:c>
      <x:c r="B64" s="338" t="str">
        <x:v>Automated testing, security scanning, deployment gates, and rollback</x:v>
      </x:c>
      <x:c r="C64" s="355" t="n">
        <x:v>4</x:v>
      </x:c>
      <x:c r="D64" s="338" t="str">
        <x:v>Layer 4 — Application and enterprise integration</x:v>
      </x:c>
      <x:c r="E64" s="338" t="str">
        <x:v>10, 30, 58</x:v>
      </x:c>
      <x:c r="F64" s="338" t="str">
        <x:v>Level 3 — Apply/Implement</x:v>
      </x:c>
      <x:c r="G64" s="338" t="str">
        <x:v>Hard</x:v>
      </x:c>
      <x:c r="H64" s="355" t="str">
        <x:f>IF(COUNTIF('Initial Diagnostic'!$D$6:$D$65,A64)=0,"Not assessed",IF(COUNTIFS('Initial Diagnostic'!$D$6:$D$65,A64,'Initial Diagnostic'!$P$6:$P$65,"Gap")&gt;0,"Gap",IF(COUNTIFS('Initial Diagnostic'!$D$6:$D$65,A64,'Initial Diagnostic'!$P$6:$P$65,"Pass")&gt;0,"Passed","Not scored")))</x:f>
        <x:v>Not scored</x:v>
      </x:c>
      <x:c r="I64" s="360" t="str"/>
      <x:c r="J64" s="360" t="str">
        <x:v>Not Started</x:v>
      </x:c>
      <x:c r="K64" s="360" t="str"/>
      <x:c r="L64" s="360" t="str"/>
      <x:c r="M64" s="360" t="str"/>
      <x:c r="N64" s="360" t="str"/>
      <x:c r="O64" s="355" t="str">
        <x:f>IF(OR(J64="Passed",J64="Mastered"),"Yes",IF(G64="Soft","Not required yet","No"))</x:f>
        <x:v>No</x:v>
      </x:c>
      <x:c r="P64" s="371" t="str"/>
      <x:c r="Q64" s="344" t="str"/>
      <x:c r="R64" s="338" t="str">
        <x:f>IF(AND(G64="Hard",O64&lt;&gt;"Yes"),"Potentially blocks dependent topics","")</x:f>
        <x:v>Potentially blocks dependent topics</x:v>
      </x:c>
      <x:c r="S64" s="339" t="str">
        <x:f>IF(J64="Mastered","Spaced review",IF(J64="Passed","Proceed to next eligible topic",IF(J64="Remediation","Complete targeted remediation",IF(H64="Gap","Start assigned learning method",IF(H64="Passed","Confirm with topic-level assessment","Not yet assessed")))))</x:f>
        <x:v>Not yet assessed</x:v>
      </x:c>
    </x:row>
    <x:row r="65" ht="38" customHeight="1">
      <x:c r="A65" s="354" t="n">
        <x:v>60</x:v>
      </x:c>
      <x:c r="B65" s="338" t="str">
        <x:v>GenAI developer tools and Amazon Q Developer</x:v>
      </x:c>
      <x:c r="C65" s="355" t="n">
        <x:v>4</x:v>
      </x:c>
      <x:c r="D65" s="338" t="str">
        <x:v>Layer 4 — Application and enterprise integration</x:v>
      </x:c>
      <x:c r="E65" s="338" t="str">
        <x:v>3, 49, 58</x:v>
      </x:c>
      <x:c r="F65" s="338" t="str">
        <x:v>Level 3 — Apply/Implement</x:v>
      </x:c>
      <x:c r="G65" s="338" t="str">
        <x:v>Soft</x:v>
      </x:c>
      <x:c r="H65" s="355" t="str">
        <x:f>IF(COUNTIF('Initial Diagnostic'!$D$6:$D$65,A65)=0,"Not assessed",IF(COUNTIFS('Initial Diagnostic'!$D$6:$D$65,A65,'Initial Diagnostic'!$P$6:$P$65,"Gap")&gt;0,"Gap",IF(COUNTIFS('Initial Diagnostic'!$D$6:$D$65,A65,'Initial Diagnostic'!$P$6:$P$65,"Pass")&gt;0,"Passed","Not scored")))</x:f>
        <x:v>Not assessed</x:v>
      </x:c>
      <x:c r="I65" s="360" t="str"/>
      <x:c r="J65" s="360" t="str">
        <x:v>Not Started</x:v>
      </x:c>
      <x:c r="K65" s="360" t="str"/>
      <x:c r="L65" s="360" t="str"/>
      <x:c r="M65" s="360" t="str"/>
      <x:c r="N65" s="360" t="str"/>
      <x:c r="O65" s="355" t="str">
        <x:f>IF(OR(J65="Passed",J65="Mastered"),"Yes",IF(G65="Soft","Not required yet","No"))</x:f>
        <x:v>Not required yet</x:v>
      </x:c>
      <x:c r="P65" s="371" t="str"/>
      <x:c r="Q65" s="344" t="str"/>
      <x:c r="R65" s="338" t="str">
        <x:f>IF(AND(G65="Hard",O65&lt;&gt;"Yes"),"Potentially blocks dependent topics","")</x:f>
      </x:c>
      <x:c r="S65" s="339" t="str">
        <x:f>IF(J65="Mastered","Spaced review",IF(J65="Passed","Proceed to next eligible topic",IF(J65="Remediation","Complete targeted remediation",IF(H65="Gap","Start assigned learning method",IF(H65="Passed","Confirm with topic-level assessment","Not yet assessed")))))</x:f>
        <x:v>Not yet assessed</x:v>
      </x:c>
    </x:row>
    <x:row r="66" ht="38" customHeight="1">
      <x:c r="A66" s="354" t="n">
        <x:v>61</x:v>
      </x:c>
      <x:c r="B66" s="338" t="str">
        <x:v>Function calling and tool-interface design</x:v>
      </x:c>
      <x:c r="C66" s="355" t="n">
        <x:v>5</x:v>
      </x:c>
      <x:c r="D66" s="338" t="str">
        <x:v>Layer 5 — Tools and agentic AI</x:v>
      </x:c>
      <x:c r="E66" s="338" t="str">
        <x:v>4, 8, 9, 32</x:v>
      </x:c>
      <x:c r="F66" s="338" t="str">
        <x:v>Level 3 — Apply/Implement</x:v>
      </x:c>
      <x:c r="G66" s="338" t="str">
        <x:v>Hard</x:v>
      </x:c>
      <x:c r="H66" s="355" t="str">
        <x:f>IF(COUNTIF('Initial Diagnostic'!$D$6:$D$65,A66)=0,"Not assessed",IF(COUNTIFS('Initial Diagnostic'!$D$6:$D$65,A66,'Initial Diagnostic'!$P$6:$P$65,"Gap")&gt;0,"Gap",IF(COUNTIFS('Initial Diagnostic'!$D$6:$D$65,A66,'Initial Diagnostic'!$P$6:$P$65,"Pass")&gt;0,"Passed","Not scored")))</x:f>
        <x:v>Not scored</x:v>
      </x:c>
      <x:c r="I66" s="360" t="str"/>
      <x:c r="J66" s="360" t="str">
        <x:v>Not Started</x:v>
      </x:c>
      <x:c r="K66" s="360" t="str"/>
      <x:c r="L66" s="360" t="str"/>
      <x:c r="M66" s="360" t="str"/>
      <x:c r="N66" s="360" t="str"/>
      <x:c r="O66" s="355" t="str">
        <x:f>IF(OR(J66="Passed",J66="Mastered"),"Yes",IF(G66="Soft","Not required yet","No"))</x:f>
        <x:v>No</x:v>
      </x:c>
      <x:c r="P66" s="371" t="str"/>
      <x:c r="Q66" s="344" t="str"/>
      <x:c r="R66" s="338" t="str">
        <x:f>IF(AND(G66="Hard",O66&lt;&gt;"Yes"),"Potentially blocks dependent topics","")</x:f>
        <x:v>Potentially blocks dependent topics</x:v>
      </x:c>
      <x:c r="S66" s="339" t="str">
        <x:f>IF(J66="Mastered","Spaced review",IF(J66="Passed","Proceed to next eligible topic",IF(J66="Remediation","Complete targeted remediation",IF(H66="Gap","Start assigned learning method",IF(H66="Passed","Confirm with topic-level assessment","Not yet assessed")))))</x:f>
        <x:v>Not yet assessed</x:v>
      </x:c>
    </x:row>
    <x:row r="67" ht="38" customHeight="1">
      <x:c r="A67" s="354" t="n">
        <x:v>62</x:v>
      </x:c>
      <x:c r="B67" s="338" t="str">
        <x:v>Tool schemas, parameter validation, authorization, and error handling</x:v>
      </x:c>
      <x:c r="C67" s="355" t="n">
        <x:v>5</x:v>
      </x:c>
      <x:c r="D67" s="338" t="str">
        <x:v>Layer 5 — Tools and agentic AI</x:v>
      </x:c>
      <x:c r="E67" s="338" t="str">
        <x:v>5, 36, 61</x:v>
      </x:c>
      <x:c r="F67" s="338" t="str">
        <x:v>Level 3 — Apply/Implement</x:v>
      </x:c>
      <x:c r="G67" s="338" t="str">
        <x:v>Hard</x:v>
      </x:c>
      <x:c r="H67" s="355" t="str">
        <x:f>IF(COUNTIF('Initial Diagnostic'!$D$6:$D$65,A67)=0,"Not assessed",IF(COUNTIFS('Initial Diagnostic'!$D$6:$D$65,A67,'Initial Diagnostic'!$P$6:$P$65,"Gap")&gt;0,"Gap",IF(COUNTIFS('Initial Diagnostic'!$D$6:$D$65,A67,'Initial Diagnostic'!$P$6:$P$65,"Pass")&gt;0,"Passed","Not scored")))</x:f>
        <x:v>Not assessed</x:v>
      </x:c>
      <x:c r="I67" s="360" t="str"/>
      <x:c r="J67" s="360" t="str">
        <x:v>Not Started</x:v>
      </x:c>
      <x:c r="K67" s="360" t="str"/>
      <x:c r="L67" s="360" t="str"/>
      <x:c r="M67" s="360" t="str"/>
      <x:c r="N67" s="360" t="str"/>
      <x:c r="O67" s="355" t="str">
        <x:f>IF(OR(J67="Passed",J67="Mastered"),"Yes",IF(G67="Soft","Not required yet","No"))</x:f>
        <x:v>No</x:v>
      </x:c>
      <x:c r="P67" s="371" t="str"/>
      <x:c r="Q67" s="344" t="str"/>
      <x:c r="R67" s="338" t="str">
        <x:f>IF(AND(G67="Hard",O67&lt;&gt;"Yes"),"Potentially blocks dependent topics","")</x:f>
        <x:v>Potentially blocks dependent topics</x:v>
      </x:c>
      <x:c r="S67" s="339" t="str">
        <x:f>IF(J67="Mastered","Spaced review",IF(J67="Passed","Proceed to next eligible topic",IF(J67="Remediation","Complete targeted remediation",IF(H67="Gap","Start assigned learning method",IF(H67="Passed","Confirm with topic-level assessment","Not yet assessed")))))</x:f>
        <x:v>Not yet assessed</x:v>
      </x:c>
    </x:row>
    <x:row r="68" ht="38" customHeight="1">
      <x:c r="A68" s="354" t="n">
        <x:v>63</x:v>
      </x:c>
      <x:c r="B68" s="338" t="str">
        <x:v>MCP clients and servers</x:v>
      </x:c>
      <x:c r="C68" s="355" t="n">
        <x:v>5</x:v>
      </x:c>
      <x:c r="D68" s="338" t="str">
        <x:v>Layer 5 — Tools and agentic AI</x:v>
      </x:c>
      <x:c r="E68" s="338" t="str">
        <x:v>25, 61, 62</x:v>
      </x:c>
      <x:c r="F68" s="338" t="str">
        <x:v>Level 3 — Apply/Implement</x:v>
      </x:c>
      <x:c r="G68" s="338" t="str">
        <x:v>Soft</x:v>
      </x:c>
      <x:c r="H68" s="355" t="str">
        <x:f>IF(COUNTIF('Initial Diagnostic'!$D$6:$D$65,A68)=0,"Not assessed",IF(COUNTIFS('Initial Diagnostic'!$D$6:$D$65,A68,'Initial Diagnostic'!$P$6:$P$65,"Gap")&gt;0,"Gap",IF(COUNTIFS('Initial Diagnostic'!$D$6:$D$65,A68,'Initial Diagnostic'!$P$6:$P$65,"Pass")&gt;0,"Passed","Not scored")))</x:f>
        <x:v>Not assessed</x:v>
      </x:c>
      <x:c r="I68" s="360" t="str"/>
      <x:c r="J68" s="360" t="str">
        <x:v>Not Started</x:v>
      </x:c>
      <x:c r="K68" s="360" t="str"/>
      <x:c r="L68" s="360" t="str"/>
      <x:c r="M68" s="360" t="str"/>
      <x:c r="N68" s="360" t="str"/>
      <x:c r="O68" s="355" t="str">
        <x:f>IF(OR(J68="Passed",J68="Mastered"),"Yes",IF(G68="Soft","Not required yet","No"))</x:f>
        <x:v>Not required yet</x:v>
      </x:c>
      <x:c r="P68" s="371" t="str"/>
      <x:c r="Q68" s="344" t="str"/>
      <x:c r="R68" s="338" t="str">
        <x:f>IF(AND(G68="Hard",O68&lt;&gt;"Yes"),"Potentially blocks dependent topics","")</x:f>
      </x:c>
      <x:c r="S68" s="339" t="str">
        <x:f>IF(J68="Mastered","Spaced review",IF(J68="Passed","Proceed to next eligible topic",IF(J68="Remediation","Complete targeted remediation",IF(H68="Gap","Start assigned learning method",IF(H68="Passed","Confirm with topic-level assessment","Not yet assessed")))))</x:f>
        <x:v>Not yet assessed</x:v>
      </x:c>
    </x:row>
    <x:row r="69" ht="38" customHeight="1">
      <x:c r="A69" s="354" t="n">
        <x:v>64</x:v>
      </x:c>
      <x:c r="B69" s="338" t="str">
        <x:v>Single-agent architecture and orchestration</x:v>
      </x:c>
      <x:c r="C69" s="355" t="n">
        <x:v>5</x:v>
      </x:c>
      <x:c r="D69" s="338" t="str">
        <x:v>Layer 5 — Tools and agentic AI</x:v>
      </x:c>
      <x:c r="E69" s="338" t="str">
        <x:v>27, 61, 62</x:v>
      </x:c>
      <x:c r="F69" s="338" t="str">
        <x:v>Level 3 — Apply/Implement</x:v>
      </x:c>
      <x:c r="G69" s="338" t="str">
        <x:v>Hard</x:v>
      </x:c>
      <x:c r="H69" s="355" t="str">
        <x:f>IF(COUNTIF('Initial Diagnostic'!$D$6:$D$65,A69)=0,"Not assessed",IF(COUNTIFS('Initial Diagnostic'!$D$6:$D$65,A69,'Initial Diagnostic'!$P$6:$P$65,"Gap")&gt;0,"Gap",IF(COUNTIFS('Initial Diagnostic'!$D$6:$D$65,A69,'Initial Diagnostic'!$P$6:$P$65,"Pass")&gt;0,"Passed","Not scored")))</x:f>
        <x:v>Not scored</x:v>
      </x:c>
      <x:c r="I69" s="360" t="str"/>
      <x:c r="J69" s="360" t="str">
        <x:v>Not Started</x:v>
      </x:c>
      <x:c r="K69" s="360" t="str"/>
      <x:c r="L69" s="360" t="str"/>
      <x:c r="M69" s="360" t="str"/>
      <x:c r="N69" s="360" t="str"/>
      <x:c r="O69" s="355" t="str">
        <x:f>IF(OR(J69="Passed",J69="Mastered"),"Yes",IF(G69="Soft","Not required yet","No"))</x:f>
        <x:v>No</x:v>
      </x:c>
      <x:c r="P69" s="371" t="str"/>
      <x:c r="Q69" s="344" t="str"/>
      <x:c r="R69" s="338" t="str">
        <x:f>IF(AND(G69="Hard",O69&lt;&gt;"Yes"),"Potentially blocks dependent topics","")</x:f>
        <x:v>Potentially blocks dependent topics</x:v>
      </x:c>
      <x:c r="S69" s="339" t="str">
        <x:f>IF(J69="Mastered","Spaced review",IF(J69="Passed","Proceed to next eligible topic",IF(J69="Remediation","Complete targeted remediation",IF(H69="Gap","Start assigned learning method",IF(H69="Passed","Confirm with topic-level assessment","Not yet assessed")))))</x:f>
        <x:v>Not yet assessed</x:v>
      </x:c>
    </x:row>
    <x:row r="70" ht="38" customHeight="1">
      <x:c r="A70" s="354" t="n">
        <x:v>65</x:v>
      </x:c>
      <x:c r="B70" s="338" t="str">
        <x:v>Agent planning, task decomposition, and structured reasoning</x:v>
      </x:c>
      <x:c r="C70" s="355" t="n">
        <x:v>5</x:v>
      </x:c>
      <x:c r="D70" s="338" t="str">
        <x:v>Layer 5 — Tools and agentic AI</x:v>
      </x:c>
      <x:c r="E70" s="338" t="str">
        <x:v>31, 64</x:v>
      </x:c>
      <x:c r="F70" s="338" t="str">
        <x:v>Level 4 — Select/Diagnose</x:v>
      </x:c>
      <x:c r="G70" s="338" t="str">
        <x:v>Hard</x:v>
      </x:c>
      <x:c r="H70" s="355" t="str">
        <x:f>IF(COUNTIF('Initial Diagnostic'!$D$6:$D$65,A70)=0,"Not assessed",IF(COUNTIFS('Initial Diagnostic'!$D$6:$D$65,A70,'Initial Diagnostic'!$P$6:$P$65,"Gap")&gt;0,"Gap",IF(COUNTIFS('Initial Diagnostic'!$D$6:$D$65,A70,'Initial Diagnostic'!$P$6:$P$65,"Pass")&gt;0,"Passed","Not scored")))</x:f>
        <x:v>Not assessed</x:v>
      </x:c>
      <x:c r="I70" s="360" t="str"/>
      <x:c r="J70" s="360" t="str">
        <x:v>Not Started</x:v>
      </x:c>
      <x:c r="K70" s="360" t="str"/>
      <x:c r="L70" s="360" t="str"/>
      <x:c r="M70" s="360" t="str"/>
      <x:c r="N70" s="360" t="str"/>
      <x:c r="O70" s="355" t="str">
        <x:f>IF(OR(J70="Passed",J70="Mastered"),"Yes",IF(G70="Soft","Not required yet","No"))</x:f>
        <x:v>No</x:v>
      </x:c>
      <x:c r="P70" s="371" t="str"/>
      <x:c r="Q70" s="344" t="str"/>
      <x:c r="R70" s="338" t="str">
        <x:f>IF(AND(G70="Hard",O70&lt;&gt;"Yes"),"Potentially blocks dependent topics","")</x:f>
        <x:v>Potentially blocks dependent topics</x:v>
      </x:c>
      <x:c r="S70" s="339" t="str">
        <x:f>IF(J70="Mastered","Spaced review",IF(J70="Passed","Proceed to next eligible topic",IF(J70="Remediation","Complete targeted remediation",IF(H70="Gap","Start assigned learning method",IF(H70="Passed","Confirm with topic-level assessment","Not yet assessed")))))</x:f>
        <x:v>Not yet assessed</x:v>
      </x:c>
    </x:row>
    <x:row r="71" ht="38" customHeight="1">
      <x:c r="A71" s="354" t="n">
        <x:v>66</x:v>
      </x:c>
      <x:c r="B71" s="338" t="str">
        <x:v>Agent memory and state management</x:v>
      </x:c>
      <x:c r="C71" s="355" t="n">
        <x:v>5</x:v>
      </x:c>
      <x:c r="D71" s="338" t="str">
        <x:v>Layer 5 — Tools and agentic AI</x:v>
      </x:c>
      <x:c r="E71" s="338" t="str">
        <x:v>27, 64</x:v>
      </x:c>
      <x:c r="F71" s="338" t="str">
        <x:v>Level 3 — Apply/Implement</x:v>
      </x:c>
      <x:c r="G71" s="338" t="str">
        <x:v>Hard</x:v>
      </x:c>
      <x:c r="H71" s="355" t="str">
        <x:f>IF(COUNTIF('Initial Diagnostic'!$D$6:$D$65,A71)=0,"Not assessed",IF(COUNTIFS('Initial Diagnostic'!$D$6:$D$65,A71,'Initial Diagnostic'!$P$6:$P$65,"Gap")&gt;0,"Gap",IF(COUNTIFS('Initial Diagnostic'!$D$6:$D$65,A71,'Initial Diagnostic'!$P$6:$P$65,"Pass")&gt;0,"Passed","Not scored")))</x:f>
        <x:v>Not scored</x:v>
      </x:c>
      <x:c r="I71" s="360" t="str"/>
      <x:c r="J71" s="360" t="str">
        <x:v>Not Started</x:v>
      </x:c>
      <x:c r="K71" s="360" t="str"/>
      <x:c r="L71" s="360" t="str"/>
      <x:c r="M71" s="360" t="str"/>
      <x:c r="N71" s="360" t="str"/>
      <x:c r="O71" s="355" t="str">
        <x:f>IF(OR(J71="Passed",J71="Mastered"),"Yes",IF(G71="Soft","Not required yet","No"))</x:f>
        <x:v>No</x:v>
      </x:c>
      <x:c r="P71" s="371" t="str"/>
      <x:c r="Q71" s="344" t="str"/>
      <x:c r="R71" s="338" t="str">
        <x:f>IF(AND(G71="Hard",O71&lt;&gt;"Yes"),"Potentially blocks dependent topics","")</x:f>
        <x:v>Potentially blocks dependent topics</x:v>
      </x:c>
      <x:c r="S71" s="339" t="str">
        <x:f>IF(J71="Mastered","Spaced review",IF(J71="Passed","Proceed to next eligible topic",IF(J71="Remediation","Complete targeted remediation",IF(H71="Gap","Start assigned learning method",IF(H71="Passed","Confirm with topic-level assessment","Not yet assessed")))))</x:f>
        <x:v>Not yet assessed</x:v>
      </x:c>
    </x:row>
    <x:row r="72" ht="38" customHeight="1">
      <x:c r="A72" s="354" t="n">
        <x:v>67</x:v>
      </x:c>
      <x:c r="B72" s="338" t="str">
        <x:v>Tool-use reliability and failure recovery</x:v>
      </x:c>
      <x:c r="C72" s="355" t="n">
        <x:v>5</x:v>
      </x:c>
      <x:c r="D72" s="338" t="str">
        <x:v>Layer 5 — Tools and agentic AI</x:v>
      </x:c>
      <x:c r="E72" s="338" t="str">
        <x:v>36, 62, 64</x:v>
      </x:c>
      <x:c r="F72" s="338" t="str">
        <x:v>Level 3 — Apply/Implement</x:v>
      </x:c>
      <x:c r="G72" s="338" t="str">
        <x:v>Hard</x:v>
      </x:c>
      <x:c r="H72" s="355" t="str">
        <x:f>IF(COUNTIF('Initial Diagnostic'!$D$6:$D$65,A72)=0,"Not assessed",IF(COUNTIFS('Initial Diagnostic'!$D$6:$D$65,A72,'Initial Diagnostic'!$P$6:$P$65,"Gap")&gt;0,"Gap",IF(COUNTIFS('Initial Diagnostic'!$D$6:$D$65,A72,'Initial Diagnostic'!$P$6:$P$65,"Pass")&gt;0,"Passed","Not scored")))</x:f>
        <x:v>Not scored</x:v>
      </x:c>
      <x:c r="I72" s="360" t="str"/>
      <x:c r="J72" s="360" t="str">
        <x:v>Not Started</x:v>
      </x:c>
      <x:c r="K72" s="360" t="str"/>
      <x:c r="L72" s="360" t="str"/>
      <x:c r="M72" s="360" t="str"/>
      <x:c r="N72" s="360" t="str"/>
      <x:c r="O72" s="355" t="str">
        <x:f>IF(OR(J72="Passed",J72="Mastered"),"Yes",IF(G72="Soft","Not required yet","No"))</x:f>
        <x:v>No</x:v>
      </x:c>
      <x:c r="P72" s="371" t="str"/>
      <x:c r="Q72" s="344" t="str"/>
      <x:c r="R72" s="338" t="str">
        <x:f>IF(AND(G72="Hard",O72&lt;&gt;"Yes"),"Potentially blocks dependent topics","")</x:f>
        <x:v>Potentially blocks dependent topics</x:v>
      </x:c>
      <x:c r="S72" s="339" t="str">
        <x:f>IF(J72="Mastered","Spaced review",IF(J72="Passed","Proceed to next eligible topic",IF(J72="Remediation","Complete targeted remediation",IF(H72="Gap","Start assigned learning method",IF(H72="Passed","Confirm with topic-level assessment","Not yet assessed")))))</x:f>
        <x:v>Not yet assessed</x:v>
      </x:c>
    </x:row>
    <x:row r="73" ht="38" customHeight="1">
      <x:c r="A73" s="354" t="n">
        <x:v>68</x:v>
      </x:c>
      <x:c r="B73" s="338" t="str">
        <x:v>Agent stopping conditions, timeouts, boundaries, and circuit breakers</x:v>
      </x:c>
      <x:c r="C73" s="355" t="n">
        <x:v>5</x:v>
      </x:c>
      <x:c r="D73" s="338" t="str">
        <x:v>Layer 5 — Tools and agentic AI</x:v>
      </x:c>
      <x:c r="E73" s="338" t="str">
        <x:v>37, 64, 67</x:v>
      </x:c>
      <x:c r="F73" s="338" t="str">
        <x:v>Level 3 — Apply/Implement</x:v>
      </x:c>
      <x:c r="G73" s="338" t="str">
        <x:v>Hard</x:v>
      </x:c>
      <x:c r="H73" s="355" t="str">
        <x:f>IF(COUNTIF('Initial Diagnostic'!$D$6:$D$65,A73)=0,"Not assessed",IF(COUNTIFS('Initial Diagnostic'!$D$6:$D$65,A73,'Initial Diagnostic'!$P$6:$P$65,"Gap")&gt;0,"Gap",IF(COUNTIFS('Initial Diagnostic'!$D$6:$D$65,A73,'Initial Diagnostic'!$P$6:$P$65,"Pass")&gt;0,"Passed","Not scored")))</x:f>
        <x:v>Not scored</x:v>
      </x:c>
      <x:c r="I73" s="360" t="str"/>
      <x:c r="J73" s="360" t="str">
        <x:v>Not Started</x:v>
      </x:c>
      <x:c r="K73" s="360" t="str"/>
      <x:c r="L73" s="360" t="str"/>
      <x:c r="M73" s="360" t="str"/>
      <x:c r="N73" s="360" t="str"/>
      <x:c r="O73" s="355" t="str">
        <x:f>IF(OR(J73="Passed",J73="Mastered"),"Yes",IF(G73="Soft","Not required yet","No"))</x:f>
        <x:v>No</x:v>
      </x:c>
      <x:c r="P73" s="371" t="str"/>
      <x:c r="Q73" s="344" t="str"/>
      <x:c r="R73" s="338" t="str">
        <x:f>IF(AND(G73="Hard",O73&lt;&gt;"Yes"),"Potentially blocks dependent topics","")</x:f>
        <x:v>Potentially blocks dependent topics</x:v>
      </x:c>
      <x:c r="S73" s="339" t="str">
        <x:f>IF(J73="Mastered","Spaced review",IF(J73="Passed","Proceed to next eligible topic",IF(J73="Remediation","Complete targeted remediation",IF(H73="Gap","Start assigned learning method",IF(H73="Passed","Confirm with topic-level assessment","Not yet assessed")))))</x:f>
        <x:v>Not yet assessed</x:v>
      </x:c>
    </x:row>
    <x:row r="74" ht="38" customHeight="1">
      <x:c r="A74" s="354" t="n">
        <x:v>69</x:v>
      </x:c>
      <x:c r="B74" s="338" t="str">
        <x:v>Human-in-the-loop review, approval, escalation, and feedback</x:v>
      </x:c>
      <x:c r="C74" s="355" t="n">
        <x:v>5</x:v>
      </x:c>
      <x:c r="D74" s="338" t="str">
        <x:v>Layer 5 — Tools and agentic AI</x:v>
      </x:c>
      <x:c r="E74" s="338" t="str">
        <x:v>5, 64, 68</x:v>
      </x:c>
      <x:c r="F74" s="338" t="str">
        <x:v>Level 4 — Select/Diagnose</x:v>
      </x:c>
      <x:c r="G74" s="338" t="str">
        <x:v>Hard</x:v>
      </x:c>
      <x:c r="H74" s="355" t="str">
        <x:f>IF(COUNTIF('Initial Diagnostic'!$D$6:$D$65,A74)=0,"Not assessed",IF(COUNTIFS('Initial Diagnostic'!$D$6:$D$65,A74,'Initial Diagnostic'!$P$6:$P$65,"Gap")&gt;0,"Gap",IF(COUNTIFS('Initial Diagnostic'!$D$6:$D$65,A74,'Initial Diagnostic'!$P$6:$P$65,"Pass")&gt;0,"Passed","Not scored")))</x:f>
        <x:v>Not scored</x:v>
      </x:c>
      <x:c r="I74" s="360" t="str"/>
      <x:c r="J74" s="360" t="str">
        <x:v>Not Started</x:v>
      </x:c>
      <x:c r="K74" s="360" t="str"/>
      <x:c r="L74" s="360" t="str"/>
      <x:c r="M74" s="360" t="str"/>
      <x:c r="N74" s="360" t="str"/>
      <x:c r="O74" s="355" t="str">
        <x:f>IF(OR(J74="Passed",J74="Mastered"),"Yes",IF(G74="Soft","Not required yet","No"))</x:f>
        <x:v>No</x:v>
      </x:c>
      <x:c r="P74" s="371" t="str"/>
      <x:c r="Q74" s="344" t="str"/>
      <x:c r="R74" s="338" t="str">
        <x:f>IF(AND(G74="Hard",O74&lt;&gt;"Yes"),"Potentially blocks dependent topics","")</x:f>
        <x:v>Potentially blocks dependent topics</x:v>
      </x:c>
      <x:c r="S74" s="339" t="str">
        <x:f>IF(J74="Mastered","Spaced review",IF(J74="Passed","Proceed to next eligible topic",IF(J74="Remediation","Complete targeted remediation",IF(H74="Gap","Start assigned learning method",IF(H74="Passed","Confirm with topic-level assessment","Not yet assessed")))))</x:f>
        <x:v>Not yet assessed</x:v>
      </x:c>
    </x:row>
    <x:row r="75" ht="38" customHeight="1">
      <x:c r="A75" s="354" t="n">
        <x:v>70</x:v>
      </x:c>
      <x:c r="B75" s="338" t="str">
        <x:v>Specialized-model and agent coordination</x:v>
      </x:c>
      <x:c r="C75" s="355" t="n">
        <x:v>5</x:v>
      </x:c>
      <x:c r="D75" s="338" t="str">
        <x:v>Layer 5 — Tools and agentic AI</x:v>
      </x:c>
      <x:c r="E75" s="338" t="str">
        <x:v>41, 42, 64</x:v>
      </x:c>
      <x:c r="F75" s="338" t="str">
        <x:v>Level 4 — Select/Diagnose</x:v>
      </x:c>
      <x:c r="G75" s="338" t="str">
        <x:v>Soft</x:v>
      </x:c>
      <x:c r="H75" s="355" t="str">
        <x:f>IF(COUNTIF('Initial Diagnostic'!$D$6:$D$65,A75)=0,"Not assessed",IF(COUNTIFS('Initial Diagnostic'!$D$6:$D$65,A75,'Initial Diagnostic'!$P$6:$P$65,"Gap")&gt;0,"Gap",IF(COUNTIFS('Initial Diagnostic'!$D$6:$D$65,A75,'Initial Diagnostic'!$P$6:$P$65,"Pass")&gt;0,"Passed","Not scored")))</x:f>
        <x:v>Not assessed</x:v>
      </x:c>
      <x:c r="I75" s="360" t="str"/>
      <x:c r="J75" s="360" t="str">
        <x:v>Not Started</x:v>
      </x:c>
      <x:c r="K75" s="360" t="str"/>
      <x:c r="L75" s="360" t="str"/>
      <x:c r="M75" s="360" t="str"/>
      <x:c r="N75" s="360" t="str"/>
      <x:c r="O75" s="355" t="str">
        <x:f>IF(OR(J75="Passed",J75="Mastered"),"Yes",IF(G75="Soft","Not required yet","No"))</x:f>
        <x:v>Not required yet</x:v>
      </x:c>
      <x:c r="P75" s="371" t="str"/>
      <x:c r="Q75" s="344" t="str"/>
      <x:c r="R75" s="338" t="str">
        <x:f>IF(AND(G75="Hard",O75&lt;&gt;"Yes"),"Potentially blocks dependent topics","")</x:f>
      </x:c>
      <x:c r="S75" s="339" t="str">
        <x:f>IF(J75="Mastered","Spaced review",IF(J75="Passed","Proceed to next eligible topic",IF(J75="Remediation","Complete targeted remediation",IF(H75="Gap","Start assigned learning method",IF(H75="Passed","Confirm with topic-level assessment","Not yet assessed")))))</x:f>
        <x:v>Not yet assessed</x:v>
      </x:c>
    </x:row>
    <x:row r="76" ht="38" customHeight="1">
      <x:c r="A76" s="354" t="n">
        <x:v>71</x:v>
      </x:c>
      <x:c r="B76" s="338" t="str">
        <x:v>Multi-agent systems</x:v>
      </x:c>
      <x:c r="C76" s="355" t="n">
        <x:v>5</x:v>
      </x:c>
      <x:c r="D76" s="338" t="str">
        <x:v>Layer 5 — Tools and agentic AI</x:v>
      </x:c>
      <x:c r="E76" s="338" t="str">
        <x:v>64, 66, 67, 68, 70</x:v>
      </x:c>
      <x:c r="F76" s="338" t="str">
        <x:v>Level 4 — Select/Diagnose</x:v>
      </x:c>
      <x:c r="G76" s="338" t="str">
        <x:v>Soft</x:v>
      </x:c>
      <x:c r="H76" s="355" t="str">
        <x:f>IF(COUNTIF('Initial Diagnostic'!$D$6:$D$65,A76)=0,"Not assessed",IF(COUNTIFS('Initial Diagnostic'!$D$6:$D$65,A76,'Initial Diagnostic'!$P$6:$P$65,"Gap")&gt;0,"Gap",IF(COUNTIFS('Initial Diagnostic'!$D$6:$D$65,A76,'Initial Diagnostic'!$P$6:$P$65,"Pass")&gt;0,"Passed","Not scored")))</x:f>
        <x:v>Not assessed</x:v>
      </x:c>
      <x:c r="I76" s="360" t="str"/>
      <x:c r="J76" s="360" t="str">
        <x:v>Not Started</x:v>
      </x:c>
      <x:c r="K76" s="360" t="str"/>
      <x:c r="L76" s="360" t="str"/>
      <x:c r="M76" s="360" t="str"/>
      <x:c r="N76" s="360" t="str"/>
      <x:c r="O76" s="355" t="str">
        <x:f>IF(OR(J76="Passed",J76="Mastered"),"Yes",IF(G76="Soft","Not required yet","No"))</x:f>
        <x:v>Not required yet</x:v>
      </x:c>
      <x:c r="P76" s="371" t="str"/>
      <x:c r="Q76" s="344" t="str"/>
      <x:c r="R76" s="338" t="str">
        <x:f>IF(AND(G76="Hard",O76&lt;&gt;"Yes"),"Potentially blocks dependent topics","")</x:f>
      </x:c>
      <x:c r="S76" s="339" t="str">
        <x:f>IF(J76="Mastered","Spaced review",IF(J76="Passed","Proceed to next eligible topic",IF(J76="Remediation","Complete targeted remediation",IF(H76="Gap","Start assigned learning method",IF(H76="Passed","Confirm with topic-level assessment","Not yet assessed")))))</x:f>
        <x:v>Not yet assessed</x:v>
      </x:c>
    </x:row>
    <x:row r="77" ht="38" customHeight="1">
      <x:c r="A77" s="354" t="n">
        <x:v>72</x:v>
      </x:c>
      <x:c r="B77" s="338" t="str">
        <x:v>Agent tracing and observability</x:v>
      </x:c>
      <x:c r="C77" s="355" t="n">
        <x:v>5</x:v>
      </x:c>
      <x:c r="D77" s="338" t="str">
        <x:v>Layer 5 — Tools and agentic AI</x:v>
      </x:c>
      <x:c r="E77" s="338" t="str">
        <x:v>38, 64, 67, 71</x:v>
      </x:c>
      <x:c r="F77" s="338" t="str">
        <x:v>Level 3 — Apply/Implement</x:v>
      </x:c>
      <x:c r="G77" s="338" t="str">
        <x:v>Hard</x:v>
      </x:c>
      <x:c r="H77" s="355" t="str">
        <x:f>IF(COUNTIF('Initial Diagnostic'!$D$6:$D$65,A77)=0,"Not assessed",IF(COUNTIFS('Initial Diagnostic'!$D$6:$D$65,A77,'Initial Diagnostic'!$P$6:$P$65,"Gap")&gt;0,"Gap",IF(COUNTIFS('Initial Diagnostic'!$D$6:$D$65,A77,'Initial Diagnostic'!$P$6:$P$65,"Pass")&gt;0,"Passed","Not scored")))</x:f>
        <x:v>Not assessed</x:v>
      </x:c>
      <x:c r="I77" s="360" t="str"/>
      <x:c r="J77" s="360" t="str">
        <x:v>Not Started</x:v>
      </x:c>
      <x:c r="K77" s="360" t="str"/>
      <x:c r="L77" s="360" t="str"/>
      <x:c r="M77" s="360" t="str"/>
      <x:c r="N77" s="360" t="str"/>
      <x:c r="O77" s="355" t="str">
        <x:f>IF(OR(J77="Passed",J77="Mastered"),"Yes",IF(G77="Soft","Not required yet","No"))</x:f>
        <x:v>No</x:v>
      </x:c>
      <x:c r="P77" s="371" t="str"/>
      <x:c r="Q77" s="344" t="str"/>
      <x:c r="R77" s="338" t="str">
        <x:f>IF(AND(G77="Hard",O77&lt;&gt;"Yes"),"Potentially blocks dependent topics","")</x:f>
        <x:v>Potentially blocks dependent topics</x:v>
      </x:c>
      <x:c r="S77" s="339" t="str">
        <x:f>IF(J77="Mastered","Spaced review",IF(J77="Passed","Proceed to next eligible topic",IF(J77="Remediation","Complete targeted remediation",IF(H77="Gap","Start assigned learning method",IF(H77="Passed","Confirm with topic-level assessment","Not yet assessed")))))</x:f>
        <x:v>Not yet assessed</x:v>
      </x:c>
    </x:row>
    <x:row r="78" ht="38" customHeight="1">
      <x:c r="A78" s="354" t="n">
        <x:v>73</x:v>
      </x:c>
      <x:c r="B78" s="338" t="str">
        <x:v>Agent evaluation and task-completion measurement</x:v>
      </x:c>
      <x:c r="C78" s="355" t="n">
        <x:v>5</x:v>
      </x:c>
      <x:c r="D78" s="338" t="str">
        <x:v>Layer 5 — Tools and agentic AI</x:v>
      </x:c>
      <x:c r="E78" s="338" t="str">
        <x:v>10, 64, 72</x:v>
      </x:c>
      <x:c r="F78" s="338" t="str">
        <x:v>Level 4 — Select/Diagnose</x:v>
      </x:c>
      <x:c r="G78" s="338" t="str">
        <x:v>Soft</x:v>
      </x:c>
      <x:c r="H78" s="355" t="str">
        <x:f>IF(COUNTIF('Initial Diagnostic'!$D$6:$D$65,A78)=0,"Not assessed",IF(COUNTIFS('Initial Diagnostic'!$D$6:$D$65,A78,'Initial Diagnostic'!$P$6:$P$65,"Gap")&gt;0,"Gap",IF(COUNTIFS('Initial Diagnostic'!$D$6:$D$65,A78,'Initial Diagnostic'!$P$6:$P$65,"Pass")&gt;0,"Passed","Not scored")))</x:f>
        <x:v>Not assessed</x:v>
      </x:c>
      <x:c r="I78" s="360" t="str"/>
      <x:c r="J78" s="360" t="str">
        <x:v>Not Started</x:v>
      </x:c>
      <x:c r="K78" s="360" t="str"/>
      <x:c r="L78" s="360" t="str"/>
      <x:c r="M78" s="360" t="str"/>
      <x:c r="N78" s="360" t="str"/>
      <x:c r="O78" s="355" t="str">
        <x:f>IF(OR(J78="Passed",J78="Mastered"),"Yes",IF(G78="Soft","Not required yet","No"))</x:f>
        <x:v>Not required yet</x:v>
      </x:c>
      <x:c r="P78" s="371" t="str"/>
      <x:c r="Q78" s="344" t="str"/>
      <x:c r="R78" s="338" t="str">
        <x:f>IF(AND(G78="Hard",O78&lt;&gt;"Yes"),"Potentially blocks dependent topics","")</x:f>
      </x:c>
      <x:c r="S78" s="339" t="str">
        <x:f>IF(J78="Mastered","Spaced review",IF(J78="Passed","Proceed to next eligible topic",IF(J78="Remediation","Complete targeted remediation",IF(H78="Gap","Start assigned learning method",IF(H78="Passed","Confirm with topic-level assessment","Not yet assessed")))))</x:f>
        <x:v>Not yet assessed</x:v>
      </x:c>
    </x:row>
    <x:row r="79" ht="38" customHeight="1">
      <x:c r="A79" s="354" t="n">
        <x:v>74</x:v>
      </x:c>
      <x:c r="B79" s="338" t="str">
        <x:v>Input content filtering and moderation</x:v>
      </x:c>
      <x:c r="C79" s="355" t="n">
        <x:v>6</x:v>
      </x:c>
      <x:c r="D79" s="338" t="str">
        <x:v>Layer 6 — Safety, security, and privacy</x:v>
      </x:c>
      <x:c r="E79" s="338" t="str">
        <x:v>9, 32</x:v>
      </x:c>
      <x:c r="F79" s="338" t="str">
        <x:v>Level 3 — Apply/Implement</x:v>
      </x:c>
      <x:c r="G79" s="338" t="str">
        <x:v>Hard</x:v>
      </x:c>
      <x:c r="H79" s="355" t="str">
        <x:f>IF(COUNTIF('Initial Diagnostic'!$D$6:$D$65,A79)=0,"Not assessed",IF(COUNTIFS('Initial Diagnostic'!$D$6:$D$65,A79,'Initial Diagnostic'!$P$6:$P$65,"Gap")&gt;0,"Gap",IF(COUNTIFS('Initial Diagnostic'!$D$6:$D$65,A79,'Initial Diagnostic'!$P$6:$P$65,"Pass")&gt;0,"Passed","Not scored")))</x:f>
        <x:v>Not assessed</x:v>
      </x:c>
      <x:c r="I79" s="360" t="str"/>
      <x:c r="J79" s="360" t="str">
        <x:v>Not Started</x:v>
      </x:c>
      <x:c r="K79" s="360" t="str"/>
      <x:c r="L79" s="360" t="str"/>
      <x:c r="M79" s="360" t="str"/>
      <x:c r="N79" s="360" t="str"/>
      <x:c r="O79" s="355" t="str">
        <x:f>IF(OR(J79="Passed",J79="Mastered"),"Yes",IF(G79="Soft","Not required yet","No"))</x:f>
        <x:v>No</x:v>
      </x:c>
      <x:c r="P79" s="371" t="str"/>
      <x:c r="Q79" s="344" t="str"/>
      <x:c r="R79" s="338" t="str">
        <x:f>IF(AND(G79="Hard",O79&lt;&gt;"Yes"),"Potentially blocks dependent topics","")</x:f>
        <x:v>Potentially blocks dependent topics</x:v>
      </x:c>
      <x:c r="S79" s="339" t="str">
        <x:f>IF(J79="Mastered","Spaced review",IF(J79="Passed","Proceed to next eligible topic",IF(J79="Remediation","Complete targeted remediation",IF(H79="Gap","Start assigned learning method",IF(H79="Passed","Confirm with topic-level assessment","Not yet assessed")))))</x:f>
        <x:v>Not yet assessed</x:v>
      </x:c>
    </x:row>
    <x:row r="80" ht="38" customHeight="1">
      <x:c r="A80" s="354" t="n">
        <x:v>75</x:v>
      </x:c>
      <x:c r="B80" s="338" t="str">
        <x:v>Output filtering and moderation</x:v>
      </x:c>
      <x:c r="C80" s="355" t="n">
        <x:v>6</x:v>
      </x:c>
      <x:c r="D80" s="338" t="str">
        <x:v>Layer 6 — Safety, security, and privacy</x:v>
      </x:c>
      <x:c r="E80" s="338" t="str">
        <x:v>74</x:v>
      </x:c>
      <x:c r="F80" s="338" t="str">
        <x:v>Level 3 — Apply/Implement</x:v>
      </x:c>
      <x:c r="G80" s="338" t="str">
        <x:v>Hard</x:v>
      </x:c>
      <x:c r="H80" s="355" t="str">
        <x:f>IF(COUNTIF('Initial Diagnostic'!$D$6:$D$65,A80)=0,"Not assessed",IF(COUNTIFS('Initial Diagnostic'!$D$6:$D$65,A80,'Initial Diagnostic'!$P$6:$P$65,"Gap")&gt;0,"Gap",IF(COUNTIFS('Initial Diagnostic'!$D$6:$D$65,A80,'Initial Diagnostic'!$P$6:$P$65,"Pass")&gt;0,"Passed","Not scored")))</x:f>
        <x:v>Not assessed</x:v>
      </x:c>
      <x:c r="I80" s="360" t="str"/>
      <x:c r="J80" s="360" t="str">
        <x:v>Not Started</x:v>
      </x:c>
      <x:c r="K80" s="360" t="str"/>
      <x:c r="L80" s="360" t="str"/>
      <x:c r="M80" s="360" t="str"/>
      <x:c r="N80" s="360" t="str"/>
      <x:c r="O80" s="355" t="str">
        <x:f>IF(OR(J80="Passed",J80="Mastered"),"Yes",IF(G80="Soft","Not required yet","No"))</x:f>
        <x:v>No</x:v>
      </x:c>
      <x:c r="P80" s="371" t="str"/>
      <x:c r="Q80" s="344" t="str"/>
      <x:c r="R80" s="338" t="str">
        <x:f>IF(AND(G80="Hard",O80&lt;&gt;"Yes"),"Potentially blocks dependent topics","")</x:f>
        <x:v>Potentially blocks dependent topics</x:v>
      </x:c>
      <x:c r="S80" s="339" t="str">
        <x:f>IF(J80="Mastered","Spaced review",IF(J80="Passed","Proceed to next eligible topic",IF(J80="Remediation","Complete targeted remediation",IF(H80="Gap","Start assigned learning method",IF(H80="Passed","Confirm with topic-level assessment","Not yet assessed")))))</x:f>
        <x:v>Not yet assessed</x:v>
      </x:c>
    </x:row>
    <x:row r="81" ht="38" customHeight="1">
      <x:c r="A81" s="354" t="n">
        <x:v>76</x:v>
      </x:c>
      <x:c r="B81" s="338" t="str">
        <x:v>Grounding, factual verification, confidence, and hallucination reduction</x:v>
      </x:c>
      <x:c r="C81" s="355" t="n">
        <x:v>6</x:v>
      </x:c>
      <x:c r="D81" s="338" t="str">
        <x:v>Layer 6 — Safety, security, and privacy</x:v>
      </x:c>
      <x:c r="E81" s="338" t="str">
        <x:v>10, 20, 74, 75</x:v>
      </x:c>
      <x:c r="F81" s="338" t="str">
        <x:v>Level 4 — Select/Diagnose</x:v>
      </x:c>
      <x:c r="G81" s="338" t="str">
        <x:v>Hard</x:v>
      </x:c>
      <x:c r="H81" s="355" t="str">
        <x:f>IF(COUNTIF('Initial Diagnostic'!$D$6:$D$65,A81)=0,"Not assessed",IF(COUNTIFS('Initial Diagnostic'!$D$6:$D$65,A81,'Initial Diagnostic'!$P$6:$P$65,"Gap")&gt;0,"Gap",IF(COUNTIFS('Initial Diagnostic'!$D$6:$D$65,A81,'Initial Diagnostic'!$P$6:$P$65,"Pass")&gt;0,"Passed","Not scored")))</x:f>
        <x:v>Not scored</x:v>
      </x:c>
      <x:c r="I81" s="360" t="str"/>
      <x:c r="J81" s="360" t="str">
        <x:v>Not Started</x:v>
      </x:c>
      <x:c r="K81" s="360" t="str"/>
      <x:c r="L81" s="360" t="str"/>
      <x:c r="M81" s="360" t="str"/>
      <x:c r="N81" s="360" t="str"/>
      <x:c r="O81" s="355" t="str">
        <x:f>IF(OR(J81="Passed",J81="Mastered"),"Yes",IF(G81="Soft","Not required yet","No"))</x:f>
        <x:v>No</x:v>
      </x:c>
      <x:c r="P81" s="371" t="str"/>
      <x:c r="Q81" s="344" t="str"/>
      <x:c r="R81" s="338" t="str">
        <x:f>IF(AND(G81="Hard",O81&lt;&gt;"Yes"),"Potentially blocks dependent topics","")</x:f>
        <x:v>Potentially blocks dependent topics</x:v>
      </x:c>
      <x:c r="S81" s="339" t="str">
        <x:f>IF(J81="Mastered","Spaced review",IF(J81="Passed","Proceed to next eligible topic",IF(J81="Remediation","Complete targeted remediation",IF(H81="Gap","Start assigned learning method",IF(H81="Passed","Confirm with topic-level assessment","Not yet assessed")))))</x:f>
        <x:v>Not yet assessed</x:v>
      </x:c>
    </x:row>
    <x:row r="82" ht="38" customHeight="1">
      <x:c r="A82" s="354" t="n">
        <x:v>77</x:v>
      </x:c>
      <x:c r="B82" s="338" t="str">
        <x:v>Structured and deterministic output controls</x:v>
      </x:c>
      <x:c r="C82" s="355" t="n">
        <x:v>6</x:v>
      </x:c>
      <x:c r="D82" s="338" t="str">
        <x:v>Layer 6 — Safety, security, and privacy</x:v>
      </x:c>
      <x:c r="E82" s="338" t="str">
        <x:v>9, 35, 75</x:v>
      </x:c>
      <x:c r="F82" s="338" t="str">
        <x:v>Level 3 — Apply/Implement</x:v>
      </x:c>
      <x:c r="G82" s="338" t="str">
        <x:v>Hard</x:v>
      </x:c>
      <x:c r="H82" s="355" t="str">
        <x:f>IF(COUNTIF('Initial Diagnostic'!$D$6:$D$65,A82)=0,"Not assessed",IF(COUNTIFS('Initial Diagnostic'!$D$6:$D$65,A82,'Initial Diagnostic'!$P$6:$P$65,"Gap")&gt;0,"Gap",IF(COUNTIFS('Initial Diagnostic'!$D$6:$D$65,A82,'Initial Diagnostic'!$P$6:$P$65,"Pass")&gt;0,"Passed","Not scored")))</x:f>
        <x:v>Not scored</x:v>
      </x:c>
      <x:c r="I82" s="360" t="str"/>
      <x:c r="J82" s="360" t="str">
        <x:v>Not Started</x:v>
      </x:c>
      <x:c r="K82" s="360" t="str"/>
      <x:c r="L82" s="360" t="str"/>
      <x:c r="M82" s="360" t="str"/>
      <x:c r="N82" s="360" t="str"/>
      <x:c r="O82" s="355" t="str">
        <x:f>IF(OR(J82="Passed",J82="Mastered"),"Yes",IF(G82="Soft","Not required yet","No"))</x:f>
        <x:v>No</x:v>
      </x:c>
      <x:c r="P82" s="371" t="str"/>
      <x:c r="Q82" s="344" t="str"/>
      <x:c r="R82" s="338" t="str">
        <x:f>IF(AND(G82="Hard",O82&lt;&gt;"Yes"),"Potentially blocks dependent topics","")</x:f>
        <x:v>Potentially blocks dependent topics</x:v>
      </x:c>
      <x:c r="S82" s="339" t="str">
        <x:f>IF(J82="Mastered","Spaced review",IF(J82="Passed","Proceed to next eligible topic",IF(J82="Remediation","Complete targeted remediation",IF(H82="Gap","Start assigned learning method",IF(H82="Passed","Confirm with topic-level assessment","Not yet assessed")))))</x:f>
        <x:v>Not yet assessed</x:v>
      </x:c>
    </x:row>
    <x:row r="83" ht="38" customHeight="1">
      <x:c r="A83" s="354" t="n">
        <x:v>78</x:v>
      </x:c>
      <x:c r="B83" s="338" t="str">
        <x:v>Prompt-injection and jailbreak threats</x:v>
      </x:c>
      <x:c r="C83" s="355" t="n">
        <x:v>6</x:v>
      </x:c>
      <x:c r="D83" s="338" t="str">
        <x:v>Layer 6 — Safety, security, and privacy</x:v>
      </x:c>
      <x:c r="E83" s="338" t="str">
        <x:v>5, 9, 61, 74</x:v>
      </x:c>
      <x:c r="F83" s="338" t="str">
        <x:v>Level 4 — Select/Diagnose</x:v>
      </x:c>
      <x:c r="G83" s="338" t="str">
        <x:v>Hard</x:v>
      </x:c>
      <x:c r="H83" s="355" t="str">
        <x:f>IF(COUNTIF('Initial Diagnostic'!$D$6:$D$65,A83)=0,"Not assessed",IF(COUNTIFS('Initial Diagnostic'!$D$6:$D$65,A83,'Initial Diagnostic'!$P$6:$P$65,"Gap")&gt;0,"Gap",IF(COUNTIFS('Initial Diagnostic'!$D$6:$D$65,A83,'Initial Diagnostic'!$P$6:$P$65,"Pass")&gt;0,"Passed","Not scored")))</x:f>
        <x:v>Not scored</x:v>
      </x:c>
      <x:c r="I83" s="360" t="str"/>
      <x:c r="J83" s="360" t="str">
        <x:v>Not Started</x:v>
      </x:c>
      <x:c r="K83" s="360" t="str"/>
      <x:c r="L83" s="360" t="str"/>
      <x:c r="M83" s="360" t="str"/>
      <x:c r="N83" s="360" t="str"/>
      <x:c r="O83" s="355" t="str">
        <x:f>IF(OR(J83="Passed",J83="Mastered"),"Yes",IF(G83="Soft","Not required yet","No"))</x:f>
        <x:v>No</x:v>
      </x:c>
      <x:c r="P83" s="371" t="str"/>
      <x:c r="Q83" s="344" t="str"/>
      <x:c r="R83" s="338" t="str">
        <x:f>IF(AND(G83="Hard",O83&lt;&gt;"Yes"),"Potentially blocks dependent topics","")</x:f>
        <x:v>Potentially blocks dependent topics</x:v>
      </x:c>
      <x:c r="S83" s="339" t="str">
        <x:f>IF(J83="Mastered","Spaced review",IF(J83="Passed","Proceed to next eligible topic",IF(J83="Remediation","Complete targeted remediation",IF(H83="Gap","Start assigned learning method",IF(H83="Passed","Confirm with topic-level assessment","Not yet assessed")))))</x:f>
        <x:v>Not yet assessed</x:v>
      </x:c>
    </x:row>
    <x:row r="84" ht="38" customHeight="1">
      <x:c r="A84" s="354" t="n">
        <x:v>79</x:v>
      </x:c>
      <x:c r="B84" s="338" t="str">
        <x:v>Adversarial testing and safety classifiers</x:v>
      </x:c>
      <x:c r="C84" s="355" t="n">
        <x:v>6</x:v>
      </x:c>
      <x:c r="D84" s="338" t="str">
        <x:v>Layer 6 — Safety, security, and privacy</x:v>
      </x:c>
      <x:c r="E84" s="338" t="str">
        <x:v>10, 74, 78</x:v>
      </x:c>
      <x:c r="F84" s="338" t="str">
        <x:v>Level 4 — Select/Diagnose</x:v>
      </x:c>
      <x:c r="G84" s="338" t="str">
        <x:v>Soft</x:v>
      </x:c>
      <x:c r="H84" s="355" t="str">
        <x:f>IF(COUNTIF('Initial Diagnostic'!$D$6:$D$65,A84)=0,"Not assessed",IF(COUNTIFS('Initial Diagnostic'!$D$6:$D$65,A84,'Initial Diagnostic'!$P$6:$P$65,"Gap")&gt;0,"Gap",IF(COUNTIFS('Initial Diagnostic'!$D$6:$D$65,A84,'Initial Diagnostic'!$P$6:$P$65,"Pass")&gt;0,"Passed","Not scored")))</x:f>
        <x:v>Not assessed</x:v>
      </x:c>
      <x:c r="I84" s="360" t="str"/>
      <x:c r="J84" s="360" t="str">
        <x:v>Not Started</x:v>
      </x:c>
      <x:c r="K84" s="360" t="str"/>
      <x:c r="L84" s="360" t="str"/>
      <x:c r="M84" s="360" t="str"/>
      <x:c r="N84" s="360" t="str"/>
      <x:c r="O84" s="355" t="str">
        <x:f>IF(OR(J84="Passed",J84="Mastered"),"Yes",IF(G84="Soft","Not required yet","No"))</x:f>
        <x:v>Not required yet</x:v>
      </x:c>
      <x:c r="P84" s="371" t="str"/>
      <x:c r="Q84" s="344" t="str"/>
      <x:c r="R84" s="338" t="str">
        <x:f>IF(AND(G84="Hard",O84&lt;&gt;"Yes"),"Potentially blocks dependent topics","")</x:f>
      </x:c>
      <x:c r="S84" s="339" t="str">
        <x:f>IF(J84="Mastered","Spaced review",IF(J84="Passed","Proceed to next eligible topic",IF(J84="Remediation","Complete targeted remediation",IF(H84="Gap","Start assigned learning method",IF(H84="Passed","Confirm with topic-level assessment","Not yet assessed")))))</x:f>
        <x:v>Not yet assessed</x:v>
      </x:c>
    </x:row>
    <x:row r="85" ht="38" customHeight="1">
      <x:c r="A85" s="354" t="n">
        <x:v>80</x:v>
      </x:c>
      <x:c r="B85" s="338" t="str">
        <x:v>Defense-in-depth GenAI safety architecture</x:v>
      </x:c>
      <x:c r="C85" s="355" t="n">
        <x:v>6</x:v>
      </x:c>
      <x:c r="D85" s="338" t="str">
        <x:v>Layer 6 — Safety, security, and privacy</x:v>
      </x:c>
      <x:c r="E85" s="338" t="str">
        <x:v>74, 75, 76, 77, 78, 79</x:v>
      </x:c>
      <x:c r="F85" s="338" t="str">
        <x:v>Level 4 — Select/Diagnose</x:v>
      </x:c>
      <x:c r="G85" s="338" t="str">
        <x:v>Hard</x:v>
      </x:c>
      <x:c r="H85" s="355" t="str">
        <x:f>IF(COUNTIF('Initial Diagnostic'!$D$6:$D$65,A85)=0,"Not assessed",IF(COUNTIFS('Initial Diagnostic'!$D$6:$D$65,A85,'Initial Diagnostic'!$P$6:$P$65,"Gap")&gt;0,"Gap",IF(COUNTIFS('Initial Diagnostic'!$D$6:$D$65,A85,'Initial Diagnostic'!$P$6:$P$65,"Pass")&gt;0,"Passed","Not scored")))</x:f>
        <x:v>Not scored</x:v>
      </x:c>
      <x:c r="I85" s="360" t="str"/>
      <x:c r="J85" s="360" t="str">
        <x:v>Not Started</x:v>
      </x:c>
      <x:c r="K85" s="360" t="str"/>
      <x:c r="L85" s="360" t="str"/>
      <x:c r="M85" s="360" t="str"/>
      <x:c r="N85" s="360" t="str"/>
      <x:c r="O85" s="355" t="str">
        <x:f>IF(OR(J85="Passed",J85="Mastered"),"Yes",IF(G85="Soft","Not required yet","No"))</x:f>
        <x:v>No</x:v>
      </x:c>
      <x:c r="P85" s="371" t="str"/>
      <x:c r="Q85" s="344" t="str"/>
      <x:c r="R85" s="338" t="str">
        <x:f>IF(AND(G85="Hard",O85&lt;&gt;"Yes"),"Potentially blocks dependent topics","")</x:f>
        <x:v>Potentially blocks dependent topics</x:v>
      </x:c>
      <x:c r="S85" s="339" t="str">
        <x:f>IF(J85="Mastered","Spaced review",IF(J85="Passed","Proceed to next eligible topic",IF(J85="Remediation","Complete targeted remediation",IF(H85="Gap","Start assigned learning method",IF(H85="Passed","Confirm with topic-level assessment","Not yet assessed")))))</x:f>
        <x:v>Not yet assessed</x:v>
      </x:c>
    </x:row>
    <x:row r="86" ht="38" customHeight="1">
      <x:c r="A86" s="354" t="n">
        <x:v>81</x:v>
      </x:c>
      <x:c r="B86" s="338" t="str">
        <x:v>VPC endpoints and protected AI environments</x:v>
      </x:c>
      <x:c r="C86" s="355" t="n">
        <x:v>6</x:v>
      </x:c>
      <x:c r="D86" s="338" t="str">
        <x:v>Layer 6 — Safety, security, and privacy</x:v>
      </x:c>
      <x:c r="E86" s="338" t="str">
        <x:v>5, 54, 55</x:v>
      </x:c>
      <x:c r="F86" s="338" t="str">
        <x:v>Level 3 — Apply/Implement</x:v>
      </x:c>
      <x:c r="G86" s="338" t="str">
        <x:v>Hard</x:v>
      </x:c>
      <x:c r="H86" s="355" t="str">
        <x:f>IF(COUNTIF('Initial Diagnostic'!$D$6:$D$65,A86)=0,"Not assessed",IF(COUNTIFS('Initial Diagnostic'!$D$6:$D$65,A86,'Initial Diagnostic'!$P$6:$P$65,"Gap")&gt;0,"Gap",IF(COUNTIFS('Initial Diagnostic'!$D$6:$D$65,A86,'Initial Diagnostic'!$P$6:$P$65,"Pass")&gt;0,"Passed","Not scored")))</x:f>
        <x:v>Not assessed</x:v>
      </x:c>
      <x:c r="I86" s="360" t="str"/>
      <x:c r="J86" s="360" t="str">
        <x:v>Not Started</x:v>
      </x:c>
      <x:c r="K86" s="360" t="str"/>
      <x:c r="L86" s="360" t="str"/>
      <x:c r="M86" s="360" t="str"/>
      <x:c r="N86" s="360" t="str"/>
      <x:c r="O86" s="355" t="str">
        <x:f>IF(OR(J86="Passed",J86="Mastered"),"Yes",IF(G86="Soft","Not required yet","No"))</x:f>
        <x:v>No</x:v>
      </x:c>
      <x:c r="P86" s="371" t="str"/>
      <x:c r="Q86" s="344" t="str"/>
      <x:c r="R86" s="338" t="str">
        <x:f>IF(AND(G86="Hard",O86&lt;&gt;"Yes"),"Potentially blocks dependent topics","")</x:f>
        <x:v>Potentially blocks dependent topics</x:v>
      </x:c>
      <x:c r="S86" s="339" t="str">
        <x:f>IF(J86="Mastered","Spaced review",IF(J86="Passed","Proceed to next eligible topic",IF(J86="Remediation","Complete targeted remediation",IF(H86="Gap","Start assigned learning method",IF(H86="Passed","Confirm with topic-level assessment","Not yet assessed")))))</x:f>
        <x:v>Not yet assessed</x:v>
      </x:c>
    </x:row>
    <x:row r="87" ht="38" customHeight="1">
      <x:c r="A87" s="354" t="n">
        <x:v>82</x:v>
      </x:c>
      <x:c r="B87" s="338" t="str">
        <x:v>IAM and granular data access for GenAI</x:v>
      </x:c>
      <x:c r="C87" s="355" t="n">
        <x:v>6</x:v>
      </x:c>
      <x:c r="D87" s="338" t="str">
        <x:v>Layer 6 — Safety, security, and privacy</x:v>
      </x:c>
      <x:c r="E87" s="338" t="str">
        <x:v>5, 54, 81</x:v>
      </x:c>
      <x:c r="F87" s="338" t="str">
        <x:v>Level 3 — Apply/Implement</x:v>
      </x:c>
      <x:c r="G87" s="338" t="str">
        <x:v>Hard</x:v>
      </x:c>
      <x:c r="H87" s="355" t="str">
        <x:f>IF(COUNTIF('Initial Diagnostic'!$D$6:$D$65,A87)=0,"Not assessed",IF(COUNTIFS('Initial Diagnostic'!$D$6:$D$65,A87,'Initial Diagnostic'!$P$6:$P$65,"Gap")&gt;0,"Gap",IF(COUNTIFS('Initial Diagnostic'!$D$6:$D$65,A87,'Initial Diagnostic'!$P$6:$P$65,"Pass")&gt;0,"Passed","Not scored")))</x:f>
        <x:v>Not assessed</x:v>
      </x:c>
      <x:c r="I87" s="360" t="str"/>
      <x:c r="J87" s="360" t="str">
        <x:v>Not Started</x:v>
      </x:c>
      <x:c r="K87" s="360" t="str"/>
      <x:c r="L87" s="360" t="str"/>
      <x:c r="M87" s="360" t="str"/>
      <x:c r="N87" s="360" t="str"/>
      <x:c r="O87" s="355" t="str">
        <x:f>IF(OR(J87="Passed",J87="Mastered"),"Yes",IF(G87="Soft","Not required yet","No"))</x:f>
        <x:v>No</x:v>
      </x:c>
      <x:c r="P87" s="371" t="str"/>
      <x:c r="Q87" s="344" t="str"/>
      <x:c r="R87" s="338" t="str">
        <x:f>IF(AND(G87="Hard",O87&lt;&gt;"Yes"),"Potentially blocks dependent topics","")</x:f>
        <x:v>Potentially blocks dependent topics</x:v>
      </x:c>
      <x:c r="S87" s="339" t="str">
        <x:f>IF(J87="Mastered","Spaced review",IF(J87="Passed","Proceed to next eligible topic",IF(J87="Remediation","Complete targeted remediation",IF(H87="Gap","Start assigned learning method",IF(H87="Passed","Confirm with topic-level assessment","Not yet assessed")))))</x:f>
        <x:v>Not yet assessed</x:v>
      </x:c>
    </x:row>
    <x:row r="88" ht="38" customHeight="1">
      <x:c r="A88" s="354" t="n">
        <x:v>83</x:v>
      </x:c>
      <x:c r="B88" s="338" t="str">
        <x:v>PII and sensitive-data discovery</x:v>
      </x:c>
      <x:c r="C88" s="355" t="n">
        <x:v>6</x:v>
      </x:c>
      <x:c r="D88" s="338" t="str">
        <x:v>Layer 6 — Safety, security, and privacy</x:v>
      </x:c>
      <x:c r="E88" s="338" t="str">
        <x:v>5, 11, 12</x:v>
      </x:c>
      <x:c r="F88" s="338" t="str">
        <x:v>Level 3 — Apply/Implement</x:v>
      </x:c>
      <x:c r="G88" s="338" t="str">
        <x:v>Hard</x:v>
      </x:c>
      <x:c r="H88" s="355" t="str">
        <x:f>IF(COUNTIF('Initial Diagnostic'!$D$6:$D$65,A88)=0,"Not assessed",IF(COUNTIFS('Initial Diagnostic'!$D$6:$D$65,A88,'Initial Diagnostic'!$P$6:$P$65,"Gap")&gt;0,"Gap",IF(COUNTIFS('Initial Diagnostic'!$D$6:$D$65,A88,'Initial Diagnostic'!$P$6:$P$65,"Pass")&gt;0,"Passed","Not scored")))</x:f>
        <x:v>Not assessed</x:v>
      </x:c>
      <x:c r="I88" s="360" t="str"/>
      <x:c r="J88" s="360" t="str">
        <x:v>Not Started</x:v>
      </x:c>
      <x:c r="K88" s="360" t="str"/>
      <x:c r="L88" s="360" t="str"/>
      <x:c r="M88" s="360" t="str"/>
      <x:c r="N88" s="360" t="str"/>
      <x:c r="O88" s="355" t="str">
        <x:f>IF(OR(J88="Passed",J88="Mastered"),"Yes",IF(G88="Soft","Not required yet","No"))</x:f>
        <x:v>No</x:v>
      </x:c>
      <x:c r="P88" s="371" t="str"/>
      <x:c r="Q88" s="344" t="str"/>
      <x:c r="R88" s="338" t="str">
        <x:f>IF(AND(G88="Hard",O88&lt;&gt;"Yes"),"Potentially blocks dependent topics","")</x:f>
        <x:v>Potentially blocks dependent topics</x:v>
      </x:c>
      <x:c r="S88" s="339" t="str">
        <x:f>IF(J88="Mastered","Spaced review",IF(J88="Passed","Proceed to next eligible topic",IF(J88="Remediation","Complete targeted remediation",IF(H88="Gap","Start assigned learning method",IF(H88="Passed","Confirm with topic-level assessment","Not yet assessed")))))</x:f>
        <x:v>Not yet assessed</x:v>
      </x:c>
    </x:row>
    <x:row r="89" ht="38" customHeight="1">
      <x:c r="A89" s="354" t="n">
        <x:v>84</x:v>
      </x:c>
      <x:c r="B89" s="338" t="str">
        <x:v>Data masking, anonymization, and redaction</x:v>
      </x:c>
      <x:c r="C89" s="355" t="n">
        <x:v>6</x:v>
      </x:c>
      <x:c r="D89" s="338" t="str">
        <x:v>Layer 6 — Safety, security, and privacy</x:v>
      </x:c>
      <x:c r="E89" s="338" t="str">
        <x:v>83</x:v>
      </x:c>
      <x:c r="F89" s="338" t="str">
        <x:v>Level 3 — Apply/Implement</x:v>
      </x:c>
      <x:c r="G89" s="338" t="str">
        <x:v>Hard</x:v>
      </x:c>
      <x:c r="H89" s="355" t="str">
        <x:f>IF(COUNTIF('Initial Diagnostic'!$D$6:$D$65,A89)=0,"Not assessed",IF(COUNTIFS('Initial Diagnostic'!$D$6:$D$65,A89,'Initial Diagnostic'!$P$6:$P$65,"Gap")&gt;0,"Gap",IF(COUNTIFS('Initial Diagnostic'!$D$6:$D$65,A89,'Initial Diagnostic'!$P$6:$P$65,"Pass")&gt;0,"Passed","Not scored")))</x:f>
        <x:v>Not scored</x:v>
      </x:c>
      <x:c r="I89" s="360" t="str"/>
      <x:c r="J89" s="360" t="str">
        <x:v>Not Started</x:v>
      </x:c>
      <x:c r="K89" s="360" t="str"/>
      <x:c r="L89" s="360" t="str"/>
      <x:c r="M89" s="360" t="str"/>
      <x:c r="N89" s="360" t="str"/>
      <x:c r="O89" s="355" t="str">
        <x:f>IF(OR(J89="Passed",J89="Mastered"),"Yes",IF(G89="Soft","Not required yet","No"))</x:f>
        <x:v>No</x:v>
      </x:c>
      <x:c r="P89" s="371" t="str"/>
      <x:c r="Q89" s="344" t="str"/>
      <x:c r="R89" s="338" t="str">
        <x:f>IF(AND(G89="Hard",O89&lt;&gt;"Yes"),"Potentially blocks dependent topics","")</x:f>
        <x:v>Potentially blocks dependent topics</x:v>
      </x:c>
      <x:c r="S89" s="339" t="str">
        <x:f>IF(J89="Mastered","Spaced review",IF(J89="Passed","Proceed to next eligible topic",IF(J89="Remediation","Complete targeted remediation",IF(H89="Gap","Start assigned learning method",IF(H89="Passed","Confirm with topic-level assessment","Not yet assessed")))))</x:f>
        <x:v>Not yet assessed</x:v>
      </x:c>
    </x:row>
    <x:row r="90" ht="38" customHeight="1">
      <x:c r="A90" s="354" t="n">
        <x:v>85</x:v>
      </x:c>
      <x:c r="B90" s="338" t="str">
        <x:v>Data retention, logging privacy, and lifecycle controls</x:v>
      </x:c>
      <x:c r="C90" s="355" t="n">
        <x:v>6</x:v>
      </x:c>
      <x:c r="D90" s="338" t="str">
        <x:v>Layer 6 — Safety, security, and privacy</x:v>
      </x:c>
      <x:c r="E90" s="338" t="str">
        <x:v>5, 83, 84</x:v>
      </x:c>
      <x:c r="F90" s="338" t="str">
        <x:v>Level 3 — Apply/Implement</x:v>
      </x:c>
      <x:c r="G90" s="338" t="str">
        <x:v>Hard</x:v>
      </x:c>
      <x:c r="H90" s="355" t="str">
        <x:f>IF(COUNTIF('Initial Diagnostic'!$D$6:$D$65,A90)=0,"Not assessed",IF(COUNTIFS('Initial Diagnostic'!$D$6:$D$65,A90,'Initial Diagnostic'!$P$6:$P$65,"Gap")&gt;0,"Gap",IF(COUNTIFS('Initial Diagnostic'!$D$6:$D$65,A90,'Initial Diagnostic'!$P$6:$P$65,"Pass")&gt;0,"Passed","Not scored")))</x:f>
        <x:v>Not assessed</x:v>
      </x:c>
      <x:c r="I90" s="360" t="str"/>
      <x:c r="J90" s="360" t="str">
        <x:v>Not Started</x:v>
      </x:c>
      <x:c r="K90" s="360" t="str"/>
      <x:c r="L90" s="360" t="str"/>
      <x:c r="M90" s="360" t="str"/>
      <x:c r="N90" s="360" t="str"/>
      <x:c r="O90" s="355" t="str">
        <x:f>IF(OR(J90="Passed",J90="Mastered"),"Yes",IF(G90="Soft","Not required yet","No"))</x:f>
        <x:v>No</x:v>
      </x:c>
      <x:c r="P90" s="371" t="str"/>
      <x:c r="Q90" s="344" t="str"/>
      <x:c r="R90" s="338" t="str">
        <x:f>IF(AND(G90="Hard",O90&lt;&gt;"Yes"),"Potentially blocks dependent topics","")</x:f>
        <x:v>Potentially blocks dependent topics</x:v>
      </x:c>
      <x:c r="S90" s="339" t="str">
        <x:f>IF(J90="Mastered","Spaced review",IF(J90="Passed","Proceed to next eligible topic",IF(J90="Remediation","Complete targeted remediation",IF(H90="Gap","Start assigned learning method",IF(H90="Passed","Confirm with topic-level assessment","Not yet assessed")))))</x:f>
        <x:v>Not yet assessed</x:v>
      </x:c>
    </x:row>
    <x:row r="91" ht="38" customHeight="1">
      <x:c r="A91" s="354" t="n">
        <x:v>86</x:v>
      </x:c>
      <x:c r="B91" s="338" t="str">
        <x:v>Data lineage and source attribution</x:v>
      </x:c>
      <x:c r="C91" s="355" t="n">
        <x:v>7</x:v>
      </x:c>
      <x:c r="D91" s="338" t="str">
        <x:v>Layer 7 — Governance and responsible AI</x:v>
      </x:c>
      <x:c r="E91" s="338" t="str">
        <x:v>16, 24, 85</x:v>
      </x:c>
      <x:c r="F91" s="338" t="str">
        <x:v>Level 3 — Apply/Implement</x:v>
      </x:c>
      <x:c r="G91" s="338" t="str">
        <x:v>Hard</x:v>
      </x:c>
      <x:c r="H91" s="355" t="str">
        <x:f>IF(COUNTIF('Initial Diagnostic'!$D$6:$D$65,A91)=0,"Not assessed",IF(COUNTIFS('Initial Diagnostic'!$D$6:$D$65,A91,'Initial Diagnostic'!$P$6:$P$65,"Gap")&gt;0,"Gap",IF(COUNTIFS('Initial Diagnostic'!$D$6:$D$65,A91,'Initial Diagnostic'!$P$6:$P$65,"Pass")&gt;0,"Passed","Not scored")))</x:f>
        <x:v>Not scored</x:v>
      </x:c>
      <x:c r="I91" s="360" t="str"/>
      <x:c r="J91" s="360" t="str">
        <x:v>Not Started</x:v>
      </x:c>
      <x:c r="K91" s="360" t="str"/>
      <x:c r="L91" s="360" t="str"/>
      <x:c r="M91" s="360" t="str"/>
      <x:c r="N91" s="360" t="str"/>
      <x:c r="O91" s="355" t="str">
        <x:f>IF(OR(J91="Passed",J91="Mastered"),"Yes",IF(G91="Soft","Not required yet","No"))</x:f>
        <x:v>No</x:v>
      </x:c>
      <x:c r="P91" s="371" t="str"/>
      <x:c r="Q91" s="344" t="str"/>
      <x:c r="R91" s="338" t="str">
        <x:f>IF(AND(G91="Hard",O91&lt;&gt;"Yes"),"Potentially blocks dependent topics","")</x:f>
        <x:v>Potentially blocks dependent topics</x:v>
      </x:c>
      <x:c r="S91" s="339" t="str">
        <x:f>IF(J91="Mastered","Spaced review",IF(J91="Passed","Proceed to next eligible topic",IF(J91="Remediation","Complete targeted remediation",IF(H91="Gap","Start assigned learning method",IF(H91="Passed","Confirm with topic-level assessment","Not yet assessed")))))</x:f>
        <x:v>Not yet assessed</x:v>
      </x:c>
    </x:row>
    <x:row r="92" ht="38" customHeight="1">
      <x:c r="A92" s="354" t="n">
        <x:v>87</x:v>
      </x:c>
      <x:c r="B92" s="338" t="str">
        <x:v>Model cards and model documentation</x:v>
      </x:c>
      <x:c r="C92" s="355" t="n">
        <x:v>7</x:v>
      </x:c>
      <x:c r="D92" s="338" t="str">
        <x:v>Layer 7 — Governance and responsible AI</x:v>
      </x:c>
      <x:c r="E92" s="338" t="str">
        <x:v>7, 39, 48, 86</x:v>
      </x:c>
      <x:c r="F92" s="338" t="str">
        <x:v>Level 3 — Apply/Implement</x:v>
      </x:c>
      <x:c r="G92" s="338" t="str">
        <x:v>Soft</x:v>
      </x:c>
      <x:c r="H92" s="355" t="str">
        <x:f>IF(COUNTIF('Initial Diagnostic'!$D$6:$D$65,A92)=0,"Not assessed",IF(COUNTIFS('Initial Diagnostic'!$D$6:$D$65,A92,'Initial Diagnostic'!$P$6:$P$65,"Gap")&gt;0,"Gap",IF(COUNTIFS('Initial Diagnostic'!$D$6:$D$65,A92,'Initial Diagnostic'!$P$6:$P$65,"Pass")&gt;0,"Passed","Not scored")))</x:f>
        <x:v>Not scored</x:v>
      </x:c>
      <x:c r="I92" s="360" t="str"/>
      <x:c r="J92" s="360" t="str">
        <x:v>Not Started</x:v>
      </x:c>
      <x:c r="K92" s="360" t="str"/>
      <x:c r="L92" s="360" t="str"/>
      <x:c r="M92" s="360" t="str"/>
      <x:c r="N92" s="360" t="str"/>
      <x:c r="O92" s="355" t="str">
        <x:f>IF(OR(J92="Passed",J92="Mastered"),"Yes",IF(G92="Soft","Not required yet","No"))</x:f>
        <x:v>Not required yet</x:v>
      </x:c>
      <x:c r="P92" s="371" t="str"/>
      <x:c r="Q92" s="344" t="str"/>
      <x:c r="R92" s="338" t="str">
        <x:f>IF(AND(G92="Hard",O92&lt;&gt;"Yes"),"Potentially blocks dependent topics","")</x:f>
      </x:c>
      <x:c r="S92" s="339" t="str">
        <x:f>IF(J92="Mastered","Spaced review",IF(J92="Passed","Proceed to next eligible topic",IF(J92="Remediation","Complete targeted remediation",IF(H92="Gap","Start assigned learning method",IF(H92="Passed","Confirm with topic-level assessment","Not yet assessed")))))</x:f>
        <x:v>Not yet assessed</x:v>
      </x:c>
    </x:row>
    <x:row r="93" ht="38" customHeight="1">
      <x:c r="A93" s="354" t="n">
        <x:v>88</x:v>
      </x:c>
      <x:c r="B93" s="338" t="str">
        <x:v>Audit logging and decision traceability</x:v>
      </x:c>
      <x:c r="C93" s="355" t="n">
        <x:v>7</x:v>
      </x:c>
      <x:c r="D93" s="338" t="str">
        <x:v>Layer 7 — Governance and responsible AI</x:v>
      </x:c>
      <x:c r="E93" s="338" t="str">
        <x:v>38, 85, 86, 87</x:v>
      </x:c>
      <x:c r="F93" s="338" t="str">
        <x:v>Level 3 — Apply/Implement</x:v>
      </x:c>
      <x:c r="G93" s="338" t="str">
        <x:v>Hard</x:v>
      </x:c>
      <x:c r="H93" s="355" t="str">
        <x:f>IF(COUNTIF('Initial Diagnostic'!$D$6:$D$65,A93)=0,"Not assessed",IF(COUNTIFS('Initial Diagnostic'!$D$6:$D$65,A93,'Initial Diagnostic'!$P$6:$P$65,"Gap")&gt;0,"Gap",IF(COUNTIFS('Initial Diagnostic'!$D$6:$D$65,A93,'Initial Diagnostic'!$P$6:$P$65,"Pass")&gt;0,"Passed","Not scored")))</x:f>
        <x:v>Not scored</x:v>
      </x:c>
      <x:c r="I93" s="360" t="str"/>
      <x:c r="J93" s="360" t="str">
        <x:v>Not Started</x:v>
      </x:c>
      <x:c r="K93" s="360" t="str"/>
      <x:c r="L93" s="360" t="str"/>
      <x:c r="M93" s="360" t="str"/>
      <x:c r="N93" s="360" t="str"/>
      <x:c r="O93" s="355" t="str">
        <x:f>IF(OR(J93="Passed",J93="Mastered"),"Yes",IF(G93="Soft","Not required yet","No"))</x:f>
        <x:v>No</x:v>
      </x:c>
      <x:c r="P93" s="371" t="str"/>
      <x:c r="Q93" s="344" t="str"/>
      <x:c r="R93" s="338" t="str">
        <x:f>IF(AND(G93="Hard",O93&lt;&gt;"Yes"),"Potentially blocks dependent topics","")</x:f>
        <x:v>Potentially blocks dependent topics</x:v>
      </x:c>
      <x:c r="S93" s="339" t="str">
        <x:f>IF(J93="Mastered","Spaced review",IF(J93="Passed","Proceed to next eligible topic",IF(J93="Remediation","Complete targeted remediation",IF(H93="Gap","Start assigned learning method",IF(H93="Passed","Confirm with topic-level assessment","Not yet assessed")))))</x:f>
        <x:v>Not yet assessed</x:v>
      </x:c>
    </x:row>
    <x:row r="94" ht="38" customHeight="1">
      <x:c r="A94" s="354" t="n">
        <x:v>89</x:v>
      </x:c>
      <x:c r="B94" s="338" t="str">
        <x:v>Organizational AI governance and accountability</x:v>
      </x:c>
      <x:c r="C94" s="355" t="n">
        <x:v>7</x:v>
      </x:c>
      <x:c r="D94" s="338" t="str">
        <x:v>Layer 7 — Governance and responsible AI</x:v>
      </x:c>
      <x:c r="E94" s="338" t="str">
        <x:v>5, 54, 86, 88</x:v>
      </x:c>
      <x:c r="F94" s="338" t="str">
        <x:v>Level 5 — Design/Defend</x:v>
      </x:c>
      <x:c r="G94" s="338" t="str">
        <x:v>Hard</x:v>
      </x:c>
      <x:c r="H94" s="355" t="str">
        <x:f>IF(COUNTIF('Initial Diagnostic'!$D$6:$D$65,A94)=0,"Not assessed",IF(COUNTIFS('Initial Diagnostic'!$D$6:$D$65,A94,'Initial Diagnostic'!$P$6:$P$65,"Gap")&gt;0,"Gap",IF(COUNTIFS('Initial Diagnostic'!$D$6:$D$65,A94,'Initial Diagnostic'!$P$6:$P$65,"Pass")&gt;0,"Passed","Not scored")))</x:f>
        <x:v>Not scored</x:v>
      </x:c>
      <x:c r="I94" s="360" t="str"/>
      <x:c r="J94" s="360" t="str">
        <x:v>Not Started</x:v>
      </x:c>
      <x:c r="K94" s="360" t="str"/>
      <x:c r="L94" s="360" t="str"/>
      <x:c r="M94" s="360" t="str"/>
      <x:c r="N94" s="360" t="str"/>
      <x:c r="O94" s="355" t="str">
        <x:f>IF(OR(J94="Passed",J94="Mastered"),"Yes",IF(G94="Soft","Not required yet","No"))</x:f>
        <x:v>No</x:v>
      </x:c>
      <x:c r="P94" s="371" t="str"/>
      <x:c r="Q94" s="344" t="str"/>
      <x:c r="R94" s="338" t="str">
        <x:f>IF(AND(G94="Hard",O94&lt;&gt;"Yes"),"Potentially blocks dependent topics","")</x:f>
        <x:v>Potentially blocks dependent topics</x:v>
      </x:c>
      <x:c r="S94" s="339" t="str">
        <x:f>IF(J94="Mastered","Spaced review",IF(J94="Passed","Proceed to next eligible topic",IF(J94="Remediation","Complete targeted remediation",IF(H94="Gap","Start assigned learning method",IF(H94="Passed","Confirm with topic-level assessment","Not yet assessed")))))</x:f>
        <x:v>Not yet assessed</x:v>
      </x:c>
    </x:row>
    <x:row r="95" ht="38" customHeight="1">
      <x:c r="A95" s="354" t="n">
        <x:v>90</x:v>
      </x:c>
      <x:c r="B95" s="338" t="str">
        <x:v>Policy-to-control mapping</x:v>
      </x:c>
      <x:c r="C95" s="355" t="n">
        <x:v>7</x:v>
      </x:c>
      <x:c r="D95" s="338" t="str">
        <x:v>Layer 7 — Governance and responsible AI</x:v>
      </x:c>
      <x:c r="E95" s="338" t="str">
        <x:v>89</x:v>
      </x:c>
      <x:c r="F95" s="338" t="str">
        <x:v>Level 4 — Select/Diagnose</x:v>
      </x:c>
      <x:c r="G95" s="338" t="str">
        <x:v>Hard</x:v>
      </x:c>
      <x:c r="H95" s="355" t="str">
        <x:f>IF(COUNTIF('Initial Diagnostic'!$D$6:$D$65,A95)=0,"Not assessed",IF(COUNTIFS('Initial Diagnostic'!$D$6:$D$65,A95,'Initial Diagnostic'!$P$6:$P$65,"Gap")&gt;0,"Gap",IF(COUNTIFS('Initial Diagnostic'!$D$6:$D$65,A95,'Initial Diagnostic'!$P$6:$P$65,"Pass")&gt;0,"Passed","Not scored")))</x:f>
        <x:v>Not assessed</x:v>
      </x:c>
      <x:c r="I95" s="360" t="str"/>
      <x:c r="J95" s="360" t="str">
        <x:v>Not Started</x:v>
      </x:c>
      <x:c r="K95" s="360" t="str"/>
      <x:c r="L95" s="360" t="str"/>
      <x:c r="M95" s="360" t="str"/>
      <x:c r="N95" s="360" t="str"/>
      <x:c r="O95" s="355" t="str">
        <x:f>IF(OR(J95="Passed",J95="Mastered"),"Yes",IF(G95="Soft","Not required yet","No"))</x:f>
        <x:v>No</x:v>
      </x:c>
      <x:c r="P95" s="371" t="str"/>
      <x:c r="Q95" s="344" t="str"/>
      <x:c r="R95" s="338" t="str">
        <x:f>IF(AND(G95="Hard",O95&lt;&gt;"Yes"),"Potentially blocks dependent topics","")</x:f>
        <x:v>Potentially blocks dependent topics</x:v>
      </x:c>
      <x:c r="S95" s="339" t="str">
        <x:f>IF(J95="Mastered","Spaced review",IF(J95="Passed","Proceed to next eligible topic",IF(J95="Remediation","Complete targeted remediation",IF(H95="Gap","Start assigned learning method",IF(H95="Passed","Confirm with topic-level assessment","Not yet assessed")))))</x:f>
        <x:v>Not yet assessed</x:v>
      </x:c>
    </x:row>
    <x:row r="96" ht="38" customHeight="1">
      <x:c r="A96" s="354" t="n">
        <x:v>91</x:v>
      </x:c>
      <x:c r="B96" s="338" t="str">
        <x:v>Continuous policy, misuse, bias, and drift monitoring</x:v>
      </x:c>
      <x:c r="C96" s="355" t="n">
        <x:v>7</x:v>
      </x:c>
      <x:c r="D96" s="338" t="str">
        <x:v>Layer 7 — Governance and responsible AI</x:v>
      </x:c>
      <x:c r="E96" s="338" t="str">
        <x:v>10, 38, 79, 89, 90</x:v>
      </x:c>
      <x:c r="F96" s="338" t="str">
        <x:v>Level 4 — Select/Diagnose</x:v>
      </x:c>
      <x:c r="G96" s="338" t="str">
        <x:v>Hard</x:v>
      </x:c>
      <x:c r="H96" s="355" t="str">
        <x:f>IF(COUNTIF('Initial Diagnostic'!$D$6:$D$65,A96)=0,"Not assessed",IF(COUNTIFS('Initial Diagnostic'!$D$6:$D$65,A96,'Initial Diagnostic'!$P$6:$P$65,"Gap")&gt;0,"Gap",IF(COUNTIFS('Initial Diagnostic'!$D$6:$D$65,A96,'Initial Diagnostic'!$P$6:$P$65,"Pass")&gt;0,"Passed","Not scored")))</x:f>
        <x:v>Not scored</x:v>
      </x:c>
      <x:c r="I96" s="360" t="str"/>
      <x:c r="J96" s="360" t="str">
        <x:v>Not Started</x:v>
      </x:c>
      <x:c r="K96" s="360" t="str"/>
      <x:c r="L96" s="360" t="str"/>
      <x:c r="M96" s="360" t="str"/>
      <x:c r="N96" s="360" t="str"/>
      <x:c r="O96" s="355" t="str">
        <x:f>IF(OR(J96="Passed",J96="Mastered"),"Yes",IF(G96="Soft","Not required yet","No"))</x:f>
        <x:v>No</x:v>
      </x:c>
      <x:c r="P96" s="371" t="str"/>
      <x:c r="Q96" s="344" t="str"/>
      <x:c r="R96" s="338" t="str">
        <x:f>IF(AND(G96="Hard",O96&lt;&gt;"Yes"),"Potentially blocks dependent topics","")</x:f>
        <x:v>Potentially blocks dependent topics</x:v>
      </x:c>
      <x:c r="S96" s="339" t="str">
        <x:f>IF(J96="Mastered","Spaced review",IF(J96="Passed","Proceed to next eligible topic",IF(J96="Remediation","Complete targeted remediation",IF(H96="Gap","Start assigned learning method",IF(H96="Passed","Confirm with topic-level assessment","Not yet assessed")))))</x:f>
        <x:v>Not yet assessed</x:v>
      </x:c>
    </x:row>
    <x:row r="97" ht="38" customHeight="1">
      <x:c r="A97" s="354" t="n">
        <x:v>92</x:v>
      </x:c>
      <x:c r="B97" s="338" t="str">
        <x:v>Transparency, evidence presentation, and uncertainty communication</x:v>
      </x:c>
      <x:c r="C97" s="355" t="n">
        <x:v>7</x:v>
      </x:c>
      <x:c r="D97" s="338" t="str">
        <x:v>Layer 7 — Governance and responsible AI</x:v>
      </x:c>
      <x:c r="E97" s="338" t="str">
        <x:v>76, 87, 89</x:v>
      </x:c>
      <x:c r="F97" s="338" t="str">
        <x:v>Level 3 — Apply/Implement</x:v>
      </x:c>
      <x:c r="G97" s="338" t="str">
        <x:v>Soft</x:v>
      </x:c>
      <x:c r="H97" s="355" t="str">
        <x:f>IF(COUNTIF('Initial Diagnostic'!$D$6:$D$65,A97)=0,"Not assessed",IF(COUNTIFS('Initial Diagnostic'!$D$6:$D$65,A97,'Initial Diagnostic'!$P$6:$P$65,"Gap")&gt;0,"Gap",IF(COUNTIFS('Initial Diagnostic'!$D$6:$D$65,A97,'Initial Diagnostic'!$P$6:$P$65,"Pass")&gt;0,"Passed","Not scored")))</x:f>
        <x:v>Not assessed</x:v>
      </x:c>
      <x:c r="I97" s="360" t="str"/>
      <x:c r="J97" s="360" t="str">
        <x:v>Not Started</x:v>
      </x:c>
      <x:c r="K97" s="360" t="str"/>
      <x:c r="L97" s="360" t="str"/>
      <x:c r="M97" s="360" t="str"/>
      <x:c r="N97" s="360" t="str"/>
      <x:c r="O97" s="355" t="str">
        <x:f>IF(OR(J97="Passed",J97="Mastered"),"Yes",IF(G97="Soft","Not required yet","No"))</x:f>
        <x:v>Not required yet</x:v>
      </x:c>
      <x:c r="P97" s="371" t="str"/>
      <x:c r="Q97" s="344" t="str"/>
      <x:c r="R97" s="338" t="str">
        <x:f>IF(AND(G97="Hard",O97&lt;&gt;"Yes"),"Potentially blocks dependent topics","")</x:f>
      </x:c>
      <x:c r="S97" s="339" t="str">
        <x:f>IF(J97="Mastered","Spaced review",IF(J97="Passed","Proceed to next eligible topic",IF(J97="Remediation","Complete targeted remediation",IF(H97="Gap","Start assigned learning method",IF(H97="Passed","Confirm with topic-level assessment","Not yet assessed")))))</x:f>
        <x:v>Not yet assessed</x:v>
      </x:c>
    </x:row>
    <x:row r="98" ht="38" customHeight="1">
      <x:c r="A98" s="354" t="n">
        <x:v>93</x:v>
      </x:c>
      <x:c r="B98" s="338" t="str">
        <x:v>Fairness metrics and subgroup evaluation</x:v>
      </x:c>
      <x:c r="C98" s="355" t="n">
        <x:v>7</x:v>
      </x:c>
      <x:c r="D98" s="338" t="str">
        <x:v>Layer 7 — Governance and responsible AI</x:v>
      </x:c>
      <x:c r="E98" s="338" t="str">
        <x:v>10, 74, 75, 92</x:v>
      </x:c>
      <x:c r="F98" s="338" t="str">
        <x:v>Level 4 — Select/Diagnose</x:v>
      </x:c>
      <x:c r="G98" s="338" t="str">
        <x:v>Soft</x:v>
      </x:c>
      <x:c r="H98" s="355" t="str">
        <x:f>IF(COUNTIF('Initial Diagnostic'!$D$6:$D$65,A98)=0,"Not assessed",IF(COUNTIFS('Initial Diagnostic'!$D$6:$D$65,A98,'Initial Diagnostic'!$P$6:$P$65,"Gap")&gt;0,"Gap",IF(COUNTIFS('Initial Diagnostic'!$D$6:$D$65,A98,'Initial Diagnostic'!$P$6:$P$65,"Pass")&gt;0,"Passed","Not scored")))</x:f>
        <x:v>Not scored</x:v>
      </x:c>
      <x:c r="I98" s="360" t="str"/>
      <x:c r="J98" s="360" t="str">
        <x:v>Not Started</x:v>
      </x:c>
      <x:c r="K98" s="360" t="str"/>
      <x:c r="L98" s="360" t="str"/>
      <x:c r="M98" s="360" t="str"/>
      <x:c r="N98" s="360" t="str"/>
      <x:c r="O98" s="355" t="str">
        <x:f>IF(OR(J98="Passed",J98="Mastered"),"Yes",IF(G98="Soft","Not required yet","No"))</x:f>
        <x:v>Not required yet</x:v>
      </x:c>
      <x:c r="P98" s="371" t="str"/>
      <x:c r="Q98" s="344" t="str"/>
      <x:c r="R98" s="338" t="str">
        <x:f>IF(AND(G98="Hard",O98&lt;&gt;"Yes"),"Potentially blocks dependent topics","")</x:f>
      </x:c>
      <x:c r="S98" s="339" t="str">
        <x:f>IF(J98="Mastered","Spaced review",IF(J98="Passed","Proceed to next eligible topic",IF(J98="Remediation","Complete targeted remediation",IF(H98="Gap","Start assigned learning method",IF(H98="Passed","Confirm with topic-level assessment","Not yet assessed")))))</x:f>
        <x:v>Not yet assessed</x:v>
      </x:c>
    </x:row>
    <x:row r="99" ht="38" customHeight="1">
      <x:c r="A99" s="354" t="n">
        <x:v>94</x:v>
      </x:c>
      <x:c r="B99" s="338" t="str">
        <x:v>Responsible-AI policy enforcement</x:v>
      </x:c>
      <x:c r="C99" s="355" t="n">
        <x:v>7</x:v>
      </x:c>
      <x:c r="D99" s="338" t="str">
        <x:v>Layer 7 — Governance and responsible AI</x:v>
      </x:c>
      <x:c r="E99" s="338" t="str">
        <x:v>80, 89, 90, 93</x:v>
      </x:c>
      <x:c r="F99" s="338" t="str">
        <x:v>Level 3 — Apply/Implement</x:v>
      </x:c>
      <x:c r="G99" s="338" t="str">
        <x:v>Soft</x:v>
      </x:c>
      <x:c r="H99" s="355" t="str">
        <x:f>IF(COUNTIF('Initial Diagnostic'!$D$6:$D$65,A99)=0,"Not assessed",IF(COUNTIFS('Initial Diagnostic'!$D$6:$D$65,A99,'Initial Diagnostic'!$P$6:$P$65,"Gap")&gt;0,"Gap",IF(COUNTIFS('Initial Diagnostic'!$D$6:$D$65,A99,'Initial Diagnostic'!$P$6:$P$65,"Pass")&gt;0,"Passed","Not scored")))</x:f>
        <x:v>Not assessed</x:v>
      </x:c>
      <x:c r="I99" s="360" t="str"/>
      <x:c r="J99" s="360" t="str">
        <x:v>Not Started</x:v>
      </x:c>
      <x:c r="K99" s="360" t="str"/>
      <x:c r="L99" s="360" t="str"/>
      <x:c r="M99" s="360" t="str"/>
      <x:c r="N99" s="360" t="str"/>
      <x:c r="O99" s="355" t="str">
        <x:f>IF(OR(J99="Passed",J99="Mastered"),"Yes",IF(G99="Soft","Not required yet","No"))</x:f>
        <x:v>Not required yet</x:v>
      </x:c>
      <x:c r="P99" s="371" t="str"/>
      <x:c r="Q99" s="344" t="str"/>
      <x:c r="R99" s="338" t="str">
        <x:f>IF(AND(G99="Hard",O99&lt;&gt;"Yes"),"Potentially blocks dependent topics","")</x:f>
      </x:c>
      <x:c r="S99" s="339" t="str">
        <x:f>IF(J99="Mastered","Spaced review",IF(J99="Passed","Proceed to next eligible topic",IF(J99="Remediation","Complete targeted remediation",IF(H99="Gap","Start assigned learning method",IF(H99="Passed","Confirm with topic-level assessment","Not yet assessed")))))</x:f>
        <x:v>Not yet assessed</x:v>
      </x:c>
    </x:row>
    <x:row r="100" ht="38" customHeight="1">
      <x:c r="A100" s="354" t="n">
        <x:v>95</x:v>
      </x:c>
      <x:c r="B100" s="338" t="str">
        <x:v>Regulatory readiness and governance evidence</x:v>
      </x:c>
      <x:c r="C100" s="355" t="n">
        <x:v>7</x:v>
      </x:c>
      <x:c r="D100" s="338" t="str">
        <x:v>Layer 7 — Governance and responsible AI</x:v>
      </x:c>
      <x:c r="E100" s="338" t="str">
        <x:v>86, 87, 88, 89, 90, 91, 92, 93, 94</x:v>
      </x:c>
      <x:c r="F100" s="338" t="str">
        <x:v>Level 5 — Design/Defend</x:v>
      </x:c>
      <x:c r="G100" s="338" t="str">
        <x:v>Soft</x:v>
      </x:c>
      <x:c r="H100" s="355" t="str">
        <x:f>IF(COUNTIF('Initial Diagnostic'!$D$6:$D$65,A100)=0,"Not assessed",IF(COUNTIFS('Initial Diagnostic'!$D$6:$D$65,A100,'Initial Diagnostic'!$P$6:$P$65,"Gap")&gt;0,"Gap",IF(COUNTIFS('Initial Diagnostic'!$D$6:$D$65,A100,'Initial Diagnostic'!$P$6:$P$65,"Pass")&gt;0,"Passed","Not scored")))</x:f>
        <x:v>Not assessed</x:v>
      </x:c>
      <x:c r="I100" s="360" t="str"/>
      <x:c r="J100" s="360" t="str">
        <x:v>Not Started</x:v>
      </x:c>
      <x:c r="K100" s="360" t="str"/>
      <x:c r="L100" s="360" t="str"/>
      <x:c r="M100" s="360" t="str"/>
      <x:c r="N100" s="360" t="str"/>
      <x:c r="O100" s="355" t="str">
        <x:f>IF(OR(J100="Passed",J100="Mastered"),"Yes",IF(G100="Soft","Not required yet","No"))</x:f>
        <x:v>Not required yet</x:v>
      </x:c>
      <x:c r="P100" s="371" t="str"/>
      <x:c r="Q100" s="344" t="str"/>
      <x:c r="R100" s="338" t="str">
        <x:f>IF(AND(G100="Hard",O100&lt;&gt;"Yes"),"Potentially blocks dependent topics","")</x:f>
      </x:c>
      <x:c r="S100" s="339" t="str">
        <x:f>IF(J100="Mastered","Spaced review",IF(J100="Passed","Proceed to next eligible topic",IF(J100="Remediation","Complete targeted remediation",IF(H100="Gap","Start assigned learning method",IF(H100="Passed","Confirm with topic-level assessment","Not yet assessed")))))</x:f>
        <x:v>Not yet assessed</x:v>
      </x:c>
    </x:row>
    <x:row r="101" ht="38" customHeight="1">
      <x:c r="A101" s="354" t="n">
        <x:v>96</x:v>
      </x:c>
      <x:c r="B101" s="338" t="str">
        <x:v>Token estimation, tracking, pruning, and prompt compression</x:v>
      </x:c>
      <x:c r="C101" s="355" t="n">
        <x:v>8</x:v>
      </x:c>
      <x:c r="D101" s="338" t="str">
        <x:v>Layer 8 — Cost, performance, and operations</x:v>
      </x:c>
      <x:c r="E101" s="338" t="str">
        <x:v>2, 10, 28</x:v>
      </x:c>
      <x:c r="F101" s="338" t="str">
        <x:v>Level 3 — Apply/Implement</x:v>
      </x:c>
      <x:c r="G101" s="338" t="str">
        <x:v>Hard</x:v>
      </x:c>
      <x:c r="H101" s="355" t="str">
        <x:f>IF(COUNTIF('Initial Diagnostic'!$D$6:$D$65,A101)=0,"Not assessed",IF(COUNTIFS('Initial Diagnostic'!$D$6:$D$65,A101,'Initial Diagnostic'!$P$6:$P$65,"Gap")&gt;0,"Gap",IF(COUNTIFS('Initial Diagnostic'!$D$6:$D$65,A101,'Initial Diagnostic'!$P$6:$P$65,"Pass")&gt;0,"Passed","Not scored")))</x:f>
        <x:v>Not scored</x:v>
      </x:c>
      <x:c r="I101" s="360" t="str"/>
      <x:c r="J101" s="360" t="str">
        <x:v>Not Started</x:v>
      </x:c>
      <x:c r="K101" s="360" t="str"/>
      <x:c r="L101" s="360" t="str"/>
      <x:c r="M101" s="360" t="str"/>
      <x:c r="N101" s="360" t="str"/>
      <x:c r="O101" s="355" t="str">
        <x:f>IF(OR(J101="Passed",J101="Mastered"),"Yes",IF(G101="Soft","Not required yet","No"))</x:f>
        <x:v>No</x:v>
      </x:c>
      <x:c r="P101" s="371" t="str"/>
      <x:c r="Q101" s="344" t="str"/>
      <x:c r="R101" s="338" t="str">
        <x:f>IF(AND(G101="Hard",O101&lt;&gt;"Yes"),"Potentially blocks dependent topics","")</x:f>
        <x:v>Potentially blocks dependent topics</x:v>
      </x:c>
      <x:c r="S101" s="339" t="str">
        <x:f>IF(J101="Mastered","Spaced review",IF(J101="Passed","Proceed to next eligible topic",IF(J101="Remediation","Complete targeted remediation",IF(H101="Gap","Start assigned learning method",IF(H101="Passed","Confirm with topic-level assessment","Not yet assessed")))))</x:f>
        <x:v>Not yet assessed</x:v>
      </x:c>
    </x:row>
    <x:row r="102" ht="38" customHeight="1">
      <x:c r="A102" s="354" t="n">
        <x:v>97</x:v>
      </x:c>
      <x:c r="B102" s="338" t="str">
        <x:v>Response-size and context-window optimization</x:v>
      </x:c>
      <x:c r="C102" s="355" t="n">
        <x:v>8</x:v>
      </x:c>
      <x:c r="D102" s="338" t="str">
        <x:v>Layer 8 — Cost, performance, and operations</x:v>
      </x:c>
      <x:c r="E102" s="338" t="str">
        <x:v>2, 20, 96</x:v>
      </x:c>
      <x:c r="F102" s="338" t="str">
        <x:v>Level 3 — Apply/Implement</x:v>
      </x:c>
      <x:c r="G102" s="338" t="str">
        <x:v>Hard</x:v>
      </x:c>
      <x:c r="H102" s="355" t="str">
        <x:f>IF(COUNTIF('Initial Diagnostic'!$D$6:$D$65,A102)=0,"Not assessed",IF(COUNTIFS('Initial Diagnostic'!$D$6:$D$65,A102,'Initial Diagnostic'!$P$6:$P$65,"Gap")&gt;0,"Gap",IF(COUNTIFS('Initial Diagnostic'!$D$6:$D$65,A102,'Initial Diagnostic'!$P$6:$P$65,"Pass")&gt;0,"Passed","Not scored")))</x:f>
        <x:v>Not assessed</x:v>
      </x:c>
      <x:c r="I102" s="360" t="str"/>
      <x:c r="J102" s="360" t="str">
        <x:v>Not Started</x:v>
      </x:c>
      <x:c r="K102" s="360" t="str"/>
      <x:c r="L102" s="360" t="str"/>
      <x:c r="M102" s="360" t="str"/>
      <x:c r="N102" s="360" t="str"/>
      <x:c r="O102" s="355" t="str">
        <x:f>IF(OR(J102="Passed",J102="Mastered"),"Yes",IF(G102="Soft","Not required yet","No"))</x:f>
        <x:v>No</x:v>
      </x:c>
      <x:c r="P102" s="371" t="str"/>
      <x:c r="Q102" s="344" t="str"/>
      <x:c r="R102" s="338" t="str">
        <x:f>IF(AND(G102="Hard",O102&lt;&gt;"Yes"),"Potentially blocks dependent topics","")</x:f>
        <x:v>Potentially blocks dependent topics</x:v>
      </x:c>
      <x:c r="S102" s="339" t="str">
        <x:f>IF(J102="Mastered","Spaced review",IF(J102="Passed","Proceed to next eligible topic",IF(J102="Remediation","Complete targeted remediation",IF(H102="Gap","Start assigned learning method",IF(H102="Passed","Confirm with topic-level assessment","Not yet assessed")))))</x:f>
        <x:v>Not yet assessed</x:v>
      </x:c>
    </x:row>
    <x:row r="103" ht="38" customHeight="1">
      <x:c r="A103" s="354" t="n">
        <x:v>98</x:v>
      </x:c>
      <x:c r="B103" s="338" t="str">
        <x:v>Cost-effective model selection and tiered model use</x:v>
      </x:c>
      <x:c r="C103" s="355" t="n">
        <x:v>8</x:v>
      </x:c>
      <x:c r="D103" s="338" t="str">
        <x:v>Layer 8 — Cost, performance, and operations</x:v>
      </x:c>
      <x:c r="E103" s="338" t="str">
        <x:v>39, 40, 41</x:v>
      </x:c>
      <x:c r="F103" s="338" t="str">
        <x:v>Level 4 — Select/Diagnose</x:v>
      </x:c>
      <x:c r="G103" s="338" t="str">
        <x:v>Hard</x:v>
      </x:c>
      <x:c r="H103" s="355" t="str">
        <x:f>IF(COUNTIF('Initial Diagnostic'!$D$6:$D$65,A103)=0,"Not assessed",IF(COUNTIFS('Initial Diagnostic'!$D$6:$D$65,A103,'Initial Diagnostic'!$P$6:$P$65,"Gap")&gt;0,"Gap",IF(COUNTIFS('Initial Diagnostic'!$D$6:$D$65,A103,'Initial Diagnostic'!$P$6:$P$65,"Pass")&gt;0,"Passed","Not scored")))</x:f>
        <x:v>Not scored</x:v>
      </x:c>
      <x:c r="I103" s="360" t="str"/>
      <x:c r="J103" s="360" t="str">
        <x:v>Not Started</x:v>
      </x:c>
      <x:c r="K103" s="360" t="str"/>
      <x:c r="L103" s="360" t="str"/>
      <x:c r="M103" s="360" t="str"/>
      <x:c r="N103" s="360" t="str"/>
      <x:c r="O103" s="355" t="str">
        <x:f>IF(OR(J103="Passed",J103="Mastered"),"Yes",IF(G103="Soft","Not required yet","No"))</x:f>
        <x:v>No</x:v>
      </x:c>
      <x:c r="P103" s="371" t="str"/>
      <x:c r="Q103" s="344" t="str"/>
      <x:c r="R103" s="338" t="str">
        <x:f>IF(AND(G103="Hard",O103&lt;&gt;"Yes"),"Potentially blocks dependent topics","")</x:f>
        <x:v>Potentially blocks dependent topics</x:v>
      </x:c>
      <x:c r="S103" s="339" t="str">
        <x:f>IF(J103="Mastered","Spaced review",IF(J103="Passed","Proceed to next eligible topic",IF(J103="Remediation","Complete targeted remediation",IF(H103="Gap","Start assigned learning method",IF(H103="Passed","Confirm with topic-level assessment","Not yet assessed")))))</x:f>
        <x:v>Not yet assessed</x:v>
      </x:c>
    </x:row>
    <x:row r="104" ht="38" customHeight="1">
      <x:c r="A104" s="354" t="n">
        <x:v>99</x:v>
      </x:c>
      <x:c r="B104" s="338" t="str">
        <x:v>Semantic, prompt, deterministic, and edge caching</x:v>
      </x:c>
      <x:c r="C104" s="355" t="n">
        <x:v>8</x:v>
      </x:c>
      <x:c r="D104" s="338" t="str">
        <x:v>Layer 8 — Cost, performance, and operations</x:v>
      </x:c>
      <x:c r="E104" s="338" t="str">
        <x:v>20, 32, 96</x:v>
      </x:c>
      <x:c r="F104" s="338" t="str">
        <x:v>Level 3 — Apply/Implement</x:v>
      </x:c>
      <x:c r="G104" s="338" t="str">
        <x:v>Hard</x:v>
      </x:c>
      <x:c r="H104" s="355" t="str">
        <x:f>IF(COUNTIF('Initial Diagnostic'!$D$6:$D$65,A104)=0,"Not assessed",IF(COUNTIFS('Initial Diagnostic'!$D$6:$D$65,A104,'Initial Diagnostic'!$P$6:$P$65,"Gap")&gt;0,"Gap",IF(COUNTIFS('Initial Diagnostic'!$D$6:$D$65,A104,'Initial Diagnostic'!$P$6:$P$65,"Pass")&gt;0,"Passed","Not scored")))</x:f>
        <x:v>Not scored</x:v>
      </x:c>
      <x:c r="I104" s="360" t="str"/>
      <x:c r="J104" s="360" t="str">
        <x:v>Not Started</x:v>
      </x:c>
      <x:c r="K104" s="360" t="str"/>
      <x:c r="L104" s="360" t="str"/>
      <x:c r="M104" s="360" t="str"/>
      <x:c r="N104" s="360" t="str"/>
      <x:c r="O104" s="355" t="str">
        <x:f>IF(OR(J104="Passed",J104="Mastered"),"Yes",IF(G104="Soft","Not required yet","No"))</x:f>
        <x:v>No</x:v>
      </x:c>
      <x:c r="P104" s="371" t="str"/>
      <x:c r="Q104" s="344" t="str"/>
      <x:c r="R104" s="338" t="str">
        <x:f>IF(AND(G104="Hard",O104&lt;&gt;"Yes"),"Potentially blocks dependent topics","")</x:f>
        <x:v>Potentially blocks dependent topics</x:v>
      </x:c>
      <x:c r="S104" s="339" t="str">
        <x:f>IF(J104="Mastered","Spaced review",IF(J104="Passed","Proceed to next eligible topic",IF(J104="Remediation","Complete targeted remediation",IF(H104="Gap","Start assigned learning method",IF(H104="Passed","Confirm with topic-level assessment","Not yet assessed")))))</x:f>
        <x:v>Not yet assessed</x:v>
      </x:c>
    </x:row>
    <x:row r="105" ht="38" customHeight="1">
      <x:c r="A105" s="354" t="n">
        <x:v>100</x:v>
      </x:c>
      <x:c r="B105" s="338" t="str">
        <x:v>Batching and batch inference</x:v>
      </x:c>
      <x:c r="C105" s="355" t="n">
        <x:v>8</x:v>
      </x:c>
      <x:c r="D105" s="338" t="str">
        <x:v>Layer 8 — Cost, performance, and operations</x:v>
      </x:c>
      <x:c r="E105" s="338" t="str">
        <x:v>33, 44</x:v>
      </x:c>
      <x:c r="F105" s="338" t="str">
        <x:v>Level 3 — Apply/Implement</x:v>
      </x:c>
      <x:c r="G105" s="338" t="str">
        <x:v>Soft</x:v>
      </x:c>
      <x:c r="H105" s="355" t="str">
        <x:f>IF(COUNTIF('Initial Diagnostic'!$D$6:$D$65,A105)=0,"Not assessed",IF(COUNTIFS('Initial Diagnostic'!$D$6:$D$65,A105,'Initial Diagnostic'!$P$6:$P$65,"Gap")&gt;0,"Gap",IF(COUNTIFS('Initial Diagnostic'!$D$6:$D$65,A105,'Initial Diagnostic'!$P$6:$P$65,"Pass")&gt;0,"Passed","Not scored")))</x:f>
        <x:v>Not scored</x:v>
      </x:c>
      <x:c r="I105" s="360" t="str"/>
      <x:c r="J105" s="360" t="str">
        <x:v>Not Started</x:v>
      </x:c>
      <x:c r="K105" s="360" t="str"/>
      <x:c r="L105" s="360" t="str"/>
      <x:c r="M105" s="360" t="str"/>
      <x:c r="N105" s="360" t="str"/>
      <x:c r="O105" s="355" t="str">
        <x:f>IF(OR(J105="Passed",J105="Mastered"),"Yes",IF(G105="Soft","Not required yet","No"))</x:f>
        <x:v>Not required yet</x:v>
      </x:c>
      <x:c r="P105" s="371" t="str"/>
      <x:c r="Q105" s="344" t="str"/>
      <x:c r="R105" s="338" t="str">
        <x:f>IF(AND(G105="Hard",O105&lt;&gt;"Yes"),"Potentially blocks dependent topics","")</x:f>
      </x:c>
      <x:c r="S105" s="339" t="str">
        <x:f>IF(J105="Mastered","Spaced review",IF(J105="Passed","Proceed to next eligible topic",IF(J105="Remediation","Complete targeted remediation",IF(H105="Gap","Start assigned learning method",IF(H105="Passed","Confirm with topic-level assessment","Not yet assessed")))))</x:f>
        <x:v>Not yet assessed</x:v>
      </x:c>
    </x:row>
    <x:row r="106" ht="38" customHeight="1">
      <x:c r="A106" s="354" t="n">
        <x:v>101</x:v>
      </x:c>
      <x:c r="B106" s="338" t="str">
        <x:v>Throughput and concurrency management</x:v>
      </x:c>
      <x:c r="C106" s="355" t="n">
        <x:v>8</x:v>
      </x:c>
      <x:c r="D106" s="338" t="str">
        <x:v>Layer 8 — Cost, performance, and operations</x:v>
      </x:c>
      <x:c r="E106" s="338" t="str">
        <x:v>34, 36, 44, 100</x:v>
      </x:c>
      <x:c r="F106" s="338" t="str">
        <x:v>Level 3 — Apply/Implement</x:v>
      </x:c>
      <x:c r="G106" s="338" t="str">
        <x:v>Hard</x:v>
      </x:c>
      <x:c r="H106" s="355" t="str">
        <x:f>IF(COUNTIF('Initial Diagnostic'!$D$6:$D$65,A106)=0,"Not assessed",IF(COUNTIFS('Initial Diagnostic'!$D$6:$D$65,A106,'Initial Diagnostic'!$P$6:$P$65,"Gap")&gt;0,"Gap",IF(COUNTIFS('Initial Diagnostic'!$D$6:$D$65,A106,'Initial Diagnostic'!$P$6:$P$65,"Pass")&gt;0,"Passed","Not scored")))</x:f>
        <x:v>Not assessed</x:v>
      </x:c>
      <x:c r="I106" s="360" t="str"/>
      <x:c r="J106" s="360" t="str">
        <x:v>Not Started</x:v>
      </x:c>
      <x:c r="K106" s="360" t="str"/>
      <x:c r="L106" s="360" t="str"/>
      <x:c r="M106" s="360" t="str"/>
      <x:c r="N106" s="360" t="str"/>
      <x:c r="O106" s="355" t="str">
        <x:f>IF(OR(J106="Passed",J106="Mastered"),"Yes",IF(G106="Soft","Not required yet","No"))</x:f>
        <x:v>No</x:v>
      </x:c>
      <x:c r="P106" s="371" t="str"/>
      <x:c r="Q106" s="344" t="str"/>
      <x:c r="R106" s="338" t="str">
        <x:f>IF(AND(G106="Hard",O106&lt;&gt;"Yes"),"Potentially blocks dependent topics","")</x:f>
        <x:v>Potentially blocks dependent topics</x:v>
      </x:c>
      <x:c r="S106" s="339" t="str">
        <x:f>IF(J106="Mastered","Spaced review",IF(J106="Passed","Proceed to next eligible topic",IF(J106="Remediation","Complete targeted remediation",IF(H106="Gap","Start assigned learning method",IF(H106="Passed","Confirm with topic-level assessment","Not yet assessed")))))</x:f>
        <x:v>Not yet assessed</x:v>
      </x:c>
    </x:row>
    <x:row r="107" ht="38" customHeight="1">
      <x:c r="A107" s="354" t="n">
        <x:v>102</x:v>
      </x:c>
      <x:c r="B107" s="338" t="str">
        <x:v>Capacity planning, provisioned throughput, and autoscaling</x:v>
      </x:c>
      <x:c r="C107" s="355" t="n">
        <x:v>8</x:v>
      </x:c>
      <x:c r="D107" s="338" t="str">
        <x:v>Layer 8 — Cost, performance, and operations</x:v>
      </x:c>
      <x:c r="E107" s="338" t="str">
        <x:v>44, 101</x:v>
      </x:c>
      <x:c r="F107" s="338" t="str">
        <x:v>Level 4 — Select/Diagnose</x:v>
      </x:c>
      <x:c r="G107" s="338" t="str">
        <x:v>Hard</x:v>
      </x:c>
      <x:c r="H107" s="355" t="str">
        <x:f>IF(COUNTIF('Initial Diagnostic'!$D$6:$D$65,A107)=0,"Not assessed",IF(COUNTIFS('Initial Diagnostic'!$D$6:$D$65,A107,'Initial Diagnostic'!$P$6:$P$65,"Gap")&gt;0,"Gap",IF(COUNTIFS('Initial Diagnostic'!$D$6:$D$65,A107,'Initial Diagnostic'!$P$6:$P$65,"Pass")&gt;0,"Passed","Not scored")))</x:f>
        <x:v>Not scored</x:v>
      </x:c>
      <x:c r="I107" s="360" t="str"/>
      <x:c r="J107" s="360" t="str">
        <x:v>Not Started</x:v>
      </x:c>
      <x:c r="K107" s="360" t="str"/>
      <x:c r="L107" s="360" t="str"/>
      <x:c r="M107" s="360" t="str"/>
      <x:c r="N107" s="360" t="str"/>
      <x:c r="O107" s="355" t="str">
        <x:f>IF(OR(J107="Passed",J107="Mastered"),"Yes",IF(G107="Soft","Not required yet","No"))</x:f>
        <x:v>No</x:v>
      </x:c>
      <x:c r="P107" s="371" t="str"/>
      <x:c r="Q107" s="344" t="str"/>
      <x:c r="R107" s="338" t="str">
        <x:f>IF(AND(G107="Hard",O107&lt;&gt;"Yes"),"Potentially blocks dependent topics","")</x:f>
        <x:v>Potentially blocks dependent topics</x:v>
      </x:c>
      <x:c r="S107" s="339" t="str">
        <x:f>IF(J107="Mastered","Spaced review",IF(J107="Passed","Proceed to next eligible topic",IF(J107="Remediation","Complete targeted remediation",IF(H107="Gap","Start assigned learning method",IF(H107="Passed","Confirm with topic-level assessment","Not yet assessed")))))</x:f>
        <x:v>Not yet assessed</x:v>
      </x:c>
    </x:row>
    <x:row r="108" ht="38" customHeight="1">
      <x:c r="A108" s="354" t="n">
        <x:v>103</x:v>
      </x:c>
      <x:c r="B108" s="338" t="str">
        <x:v>Latency decomposition, streaming, parallelism, and precomputation</x:v>
      </x:c>
      <x:c r="C108" s="355" t="n">
        <x:v>8</x:v>
      </x:c>
      <x:c r="D108" s="338" t="str">
        <x:v>Layer 8 — Cost, performance, and operations</x:v>
      </x:c>
      <x:c r="E108" s="338" t="str">
        <x:v>34, 37, 101</x:v>
      </x:c>
      <x:c r="F108" s="338" t="str">
        <x:v>Level 4 — Select/Diagnose</x:v>
      </x:c>
      <x:c r="G108" s="338" t="str">
        <x:v>Hard</x:v>
      </x:c>
      <x:c r="H108" s="355" t="str">
        <x:f>IF(COUNTIF('Initial Diagnostic'!$D$6:$D$65,A108)=0,"Not assessed",IF(COUNTIFS('Initial Diagnostic'!$D$6:$D$65,A108,'Initial Diagnostic'!$P$6:$P$65,"Gap")&gt;0,"Gap",IF(COUNTIFS('Initial Diagnostic'!$D$6:$D$65,A108,'Initial Diagnostic'!$P$6:$P$65,"Pass")&gt;0,"Passed","Not scored")))</x:f>
        <x:v>Not scored</x:v>
      </x:c>
      <x:c r="I108" s="360" t="str"/>
      <x:c r="J108" s="360" t="str">
        <x:v>Not Started</x:v>
      </x:c>
      <x:c r="K108" s="360" t="str"/>
      <x:c r="L108" s="360" t="str"/>
      <x:c r="M108" s="360" t="str"/>
      <x:c r="N108" s="360" t="str"/>
      <x:c r="O108" s="355" t="str">
        <x:f>IF(OR(J108="Passed",J108="Mastered"),"Yes",IF(G108="Soft","Not required yet","No"))</x:f>
        <x:v>No</x:v>
      </x:c>
      <x:c r="P108" s="371" t="str"/>
      <x:c r="Q108" s="344" t="str"/>
      <x:c r="R108" s="338" t="str">
        <x:f>IF(AND(G108="Hard",O108&lt;&gt;"Yes"),"Potentially blocks dependent topics","")</x:f>
        <x:v>Potentially blocks dependent topics</x:v>
      </x:c>
      <x:c r="S108" s="339" t="str">
        <x:f>IF(J108="Mastered","Spaced review",IF(J108="Passed","Proceed to next eligible topic",IF(J108="Remediation","Complete targeted remediation",IF(H108="Gap","Start assigned learning method",IF(H108="Passed","Confirm with topic-level assessment","Not yet assessed")))))</x:f>
        <x:v>Not yet assessed</x:v>
      </x:c>
    </x:row>
    <x:row r="109" ht="38" customHeight="1">
      <x:c r="A109" s="354" t="n">
        <x:v>104</x:v>
      </x:c>
      <x:c r="B109" s="338" t="str">
        <x:v>Retrieval and vector-index performance optimization</x:v>
      </x:c>
      <x:c r="C109" s="355" t="n">
        <x:v>8</x:v>
      </x:c>
      <x:c r="D109" s="338" t="str">
        <x:v>Layer 8 — Cost, performance, and operations</x:v>
      </x:c>
      <x:c r="E109" s="338" t="str">
        <x:v>18, 21, 22, 26</x:v>
      </x:c>
      <x:c r="F109" s="338" t="str">
        <x:v>Level 4 — Select/Diagnose</x:v>
      </x:c>
      <x:c r="G109" s="338" t="str">
        <x:v>Hard</x:v>
      </x:c>
      <x:c r="H109" s="355" t="str">
        <x:f>IF(COUNTIF('Initial Diagnostic'!$D$6:$D$65,A109)=0,"Not assessed",IF(COUNTIFS('Initial Diagnostic'!$D$6:$D$65,A109,'Initial Diagnostic'!$P$6:$P$65,"Gap")&gt;0,"Gap",IF(COUNTIFS('Initial Diagnostic'!$D$6:$D$65,A109,'Initial Diagnostic'!$P$6:$P$65,"Pass")&gt;0,"Passed","Not scored")))</x:f>
        <x:v>Not assessed</x:v>
      </x:c>
      <x:c r="I109" s="360" t="str"/>
      <x:c r="J109" s="360" t="str">
        <x:v>Not Started</x:v>
      </x:c>
      <x:c r="K109" s="360" t="str"/>
      <x:c r="L109" s="360" t="str"/>
      <x:c r="M109" s="360" t="str"/>
      <x:c r="N109" s="360" t="str"/>
      <x:c r="O109" s="355" t="str">
        <x:f>IF(OR(J109="Passed",J109="Mastered"),"Yes",IF(G109="Soft","Not required yet","No"))</x:f>
        <x:v>No</x:v>
      </x:c>
      <x:c r="P109" s="371" t="str"/>
      <x:c r="Q109" s="344" t="str"/>
      <x:c r="R109" s="338" t="str">
        <x:f>IF(AND(G109="Hard",O109&lt;&gt;"Yes"),"Potentially blocks dependent topics","")</x:f>
        <x:v>Potentially blocks dependent topics</x:v>
      </x:c>
      <x:c r="S109" s="339" t="str">
        <x:f>IF(J109="Mastered","Spaced review",IF(J109="Passed","Proceed to next eligible topic",IF(J109="Remediation","Complete targeted remediation",IF(H109="Gap","Start assigned learning method",IF(H109="Passed","Confirm with topic-level assessment","Not yet assessed")))))</x:f>
        <x:v>Not yet assessed</x:v>
      </x:c>
    </x:row>
    <x:row r="110" ht="38" customHeight="1">
      <x:c r="A110" s="354" t="n">
        <x:v>105</x:v>
      </x:c>
      <x:c r="B110" s="338" t="str">
        <x:v>FM parameter optimization and A/B testing</x:v>
      </x:c>
      <x:c r="C110" s="355" t="n">
        <x:v>8</x:v>
      </x:c>
      <x:c r="D110" s="338" t="str">
        <x:v>Layer 8 — Cost, performance, and operations</x:v>
      </x:c>
      <x:c r="E110" s="338" t="str">
        <x:v>2, 10, 39</x:v>
      </x:c>
      <x:c r="F110" s="338" t="str">
        <x:v>Level 3 — Apply/Implement</x:v>
      </x:c>
      <x:c r="G110" s="338" t="str">
        <x:v>Soft</x:v>
      </x:c>
      <x:c r="H110" s="355" t="str">
        <x:f>IF(COUNTIF('Initial Diagnostic'!$D$6:$D$65,A110)=0,"Not assessed",IF(COUNTIFS('Initial Diagnostic'!$D$6:$D$65,A110,'Initial Diagnostic'!$P$6:$P$65,"Gap")&gt;0,"Gap",IF(COUNTIFS('Initial Diagnostic'!$D$6:$D$65,A110,'Initial Diagnostic'!$P$6:$P$65,"Pass")&gt;0,"Passed","Not scored")))</x:f>
        <x:v>Not assessed</x:v>
      </x:c>
      <x:c r="I110" s="360" t="str"/>
      <x:c r="J110" s="360" t="str">
        <x:v>Not Started</x:v>
      </x:c>
      <x:c r="K110" s="360" t="str"/>
      <x:c r="L110" s="360" t="str"/>
      <x:c r="M110" s="360" t="str"/>
      <x:c r="N110" s="360" t="str"/>
      <x:c r="O110" s="355" t="str">
        <x:f>IF(OR(J110="Passed",J110="Mastered"),"Yes",IF(G110="Soft","Not required yet","No"))</x:f>
        <x:v>Not required yet</x:v>
      </x:c>
      <x:c r="P110" s="371" t="str"/>
      <x:c r="Q110" s="344" t="str"/>
      <x:c r="R110" s="338" t="str">
        <x:f>IF(AND(G110="Hard",O110&lt;&gt;"Yes"),"Potentially blocks dependent topics","")</x:f>
      </x:c>
      <x:c r="S110" s="339" t="str">
        <x:f>IF(J110="Mastered","Spaced review",IF(J110="Passed","Proceed to next eligible topic",IF(J110="Remediation","Complete targeted remediation",IF(H110="Gap","Start assigned learning method",IF(H110="Passed","Confirm with topic-level assessment","Not yet assessed")))))</x:f>
        <x:v>Not yet assessed</x:v>
      </x:c>
    </x:row>
    <x:row r="111" ht="38" customHeight="1">
      <x:c r="A111" s="354" t="n">
        <x:v>106</x:v>
      </x:c>
      <x:c r="B111" s="338" t="str">
        <x:v>End-to-end GenAI workflow profiling</x:v>
      </x:c>
      <x:c r="C111" s="355" t="n">
        <x:v>8</x:v>
      </x:c>
      <x:c r="D111" s="338" t="str">
        <x:v>Layer 8 — Cost, performance, and operations</x:v>
      </x:c>
      <x:c r="E111" s="338" t="str">
        <x:v>38, 97, 98, 99, 100, 101, 102, 103, 104, 105</x:v>
      </x:c>
      <x:c r="F111" s="338" t="str">
        <x:v>Level 4 — Select/Diagnose</x:v>
      </x:c>
      <x:c r="G111" s="338" t="str">
        <x:v>Hard</x:v>
      </x:c>
      <x:c r="H111" s="355" t="str">
        <x:f>IF(COUNTIF('Initial Diagnostic'!$D$6:$D$65,A111)=0,"Not assessed",IF(COUNTIFS('Initial Diagnostic'!$D$6:$D$65,A111,'Initial Diagnostic'!$P$6:$P$65,"Gap")&gt;0,"Gap",IF(COUNTIFS('Initial Diagnostic'!$D$6:$D$65,A111,'Initial Diagnostic'!$P$6:$P$65,"Pass")&gt;0,"Passed","Not scored")))</x:f>
        <x:v>Not assessed</x:v>
      </x:c>
      <x:c r="I111" s="360" t="str"/>
      <x:c r="J111" s="360" t="str">
        <x:v>Not Started</x:v>
      </x:c>
      <x:c r="K111" s="360" t="str"/>
      <x:c r="L111" s="360" t="str"/>
      <x:c r="M111" s="360" t="str"/>
      <x:c r="N111" s="360" t="str"/>
      <x:c r="O111" s="355" t="str">
        <x:f>IF(OR(J111="Passed",J111="Mastered"),"Yes",IF(G111="Soft","Not required yet","No"))</x:f>
        <x:v>No</x:v>
      </x:c>
      <x:c r="P111" s="371" t="str"/>
      <x:c r="Q111" s="344" t="str"/>
      <x:c r="R111" s="338" t="str">
        <x:f>IF(AND(G111="Hard",O111&lt;&gt;"Yes"),"Potentially blocks dependent topics","")</x:f>
        <x:v>Potentially blocks dependent topics</x:v>
      </x:c>
      <x:c r="S111" s="339" t="str">
        <x:f>IF(J111="Mastered","Spaced review",IF(J111="Passed","Proceed to next eligible topic",IF(J111="Remediation","Complete targeted remediation",IF(H111="Gap","Start assigned learning method",IF(H111="Passed","Confirm with topic-level assessment","Not yet assessed")))))</x:f>
        <x:v>Not yet assessed</x:v>
      </x:c>
    </x:row>
    <x:row r="112" ht="38" customHeight="1">
      <x:c r="A112" s="354" t="n">
        <x:v>107</x:v>
      </x:c>
      <x:c r="B112" s="338" t="str">
        <x:v>GenAI operational metrics, logs, traces, and dashboards</x:v>
      </x:c>
      <x:c r="C112" s="355" t="n">
        <x:v>9</x:v>
      </x:c>
      <x:c r="D112" s="338" t="str">
        <x:v>Layer 9 — Monitoring, evaluation, and troubleshooting</x:v>
      </x:c>
      <x:c r="E112" s="338" t="str">
        <x:v>38, 72, 106</x:v>
      </x:c>
      <x:c r="F112" s="338" t="str">
        <x:v>Level 3 — Apply/Implement</x:v>
      </x:c>
      <x:c r="G112" s="338" t="str">
        <x:v>Hard</x:v>
      </x:c>
      <x:c r="H112" s="355" t="str">
        <x:f>IF(COUNTIF('Initial Diagnostic'!$D$6:$D$65,A112)=0,"Not assessed",IF(COUNTIFS('Initial Diagnostic'!$D$6:$D$65,A112,'Initial Diagnostic'!$P$6:$P$65,"Gap")&gt;0,"Gap",IF(COUNTIFS('Initial Diagnostic'!$D$6:$D$65,A112,'Initial Diagnostic'!$P$6:$P$65,"Pass")&gt;0,"Passed","Not scored")))</x:f>
        <x:v>Not scored</x:v>
      </x:c>
      <x:c r="I112" s="360" t="str"/>
      <x:c r="J112" s="360" t="str">
        <x:v>Not Started</x:v>
      </x:c>
      <x:c r="K112" s="360" t="str"/>
      <x:c r="L112" s="360" t="str"/>
      <x:c r="M112" s="360" t="str"/>
      <x:c r="N112" s="360" t="str"/>
      <x:c r="O112" s="355" t="str">
        <x:f>IF(OR(J112="Passed",J112="Mastered"),"Yes",IF(G112="Soft","Not required yet","No"))</x:f>
        <x:v>No</x:v>
      </x:c>
      <x:c r="P112" s="371" t="str"/>
      <x:c r="Q112" s="344" t="str"/>
      <x:c r="R112" s="338" t="str">
        <x:f>IF(AND(G112="Hard",O112&lt;&gt;"Yes"),"Potentially blocks dependent topics","")</x:f>
        <x:v>Potentially blocks dependent topics</x:v>
      </x:c>
      <x:c r="S112" s="339" t="str">
        <x:f>IF(J112="Mastered","Spaced review",IF(J112="Passed","Proceed to next eligible topic",IF(J112="Remediation","Complete targeted remediation",IF(H112="Gap","Start assigned learning method",IF(H112="Passed","Confirm with topic-level assessment","Not yet assessed")))))</x:f>
        <x:v>Not yet assessed</x:v>
      </x:c>
    </x:row>
    <x:row r="113" ht="38" customHeight="1">
      <x:c r="A113" s="354" t="n">
        <x:v>108</x:v>
      </x:c>
      <x:c r="B113" s="338" t="str">
        <x:v>Token, cost, latency, throughput, and utilization monitoring</x:v>
      </x:c>
      <x:c r="C113" s="355" t="n">
        <x:v>9</x:v>
      </x:c>
      <x:c r="D113" s="338" t="str">
        <x:v>Layer 9 — Monitoring, evaluation, and troubleshooting</x:v>
      </x:c>
      <x:c r="E113" s="338" t="str">
        <x:v>96, 101, 102, 103, 107</x:v>
      </x:c>
      <x:c r="F113" s="338" t="str">
        <x:v>Level 3 — Apply/Implement</x:v>
      </x:c>
      <x:c r="G113" s="338" t="str">
        <x:v>Hard</x:v>
      </x:c>
      <x:c r="H113" s="355" t="str">
        <x:f>IF(COUNTIF('Initial Diagnostic'!$D$6:$D$65,A113)=0,"Not assessed",IF(COUNTIFS('Initial Diagnostic'!$D$6:$D$65,A113,'Initial Diagnostic'!$P$6:$P$65,"Gap")&gt;0,"Gap",IF(COUNTIFS('Initial Diagnostic'!$D$6:$D$65,A113,'Initial Diagnostic'!$P$6:$P$65,"Pass")&gt;0,"Passed","Not scored")))</x:f>
        <x:v>Not assessed</x:v>
      </x:c>
      <x:c r="I113" s="360" t="str"/>
      <x:c r="J113" s="360" t="str">
        <x:v>Not Started</x:v>
      </x:c>
      <x:c r="K113" s="360" t="str"/>
      <x:c r="L113" s="360" t="str"/>
      <x:c r="M113" s="360" t="str"/>
      <x:c r="N113" s="360" t="str"/>
      <x:c r="O113" s="355" t="str">
        <x:f>IF(OR(J113="Passed",J113="Mastered"),"Yes",IF(G113="Soft","Not required yet","No"))</x:f>
        <x:v>No</x:v>
      </x:c>
      <x:c r="P113" s="371" t="str"/>
      <x:c r="Q113" s="344" t="str"/>
      <x:c r="R113" s="338" t="str">
        <x:f>IF(AND(G113="Hard",O113&lt;&gt;"Yes"),"Potentially blocks dependent topics","")</x:f>
        <x:v>Potentially blocks dependent topics</x:v>
      </x:c>
      <x:c r="S113" s="339" t="str">
        <x:f>IF(J113="Mastered","Spaced review",IF(J113="Passed","Proceed to next eligible topic",IF(J113="Remediation","Complete targeted remediation",IF(H113="Gap","Start assigned learning method",IF(H113="Passed","Confirm with topic-level assessment","Not yet assessed")))))</x:f>
        <x:v>Not yet assessed</x:v>
      </x:c>
    </x:row>
    <x:row r="114" ht="38" customHeight="1">
      <x:c r="A114" s="354" t="n">
        <x:v>109</x:v>
      </x:c>
      <x:c r="B114" s="338" t="str">
        <x:v>Prompt effectiveness, response quality, hallucination, and drift monitoring</x:v>
      </x:c>
      <x:c r="C114" s="355" t="n">
        <x:v>9</x:v>
      </x:c>
      <x:c r="D114" s="338" t="str">
        <x:v>Layer 9 — Monitoring, evaluation, and troubleshooting</x:v>
      </x:c>
      <x:c r="E114" s="338" t="str">
        <x:v>10, 30, 76, 107</x:v>
      </x:c>
      <x:c r="F114" s="338" t="str">
        <x:v>Level 4 — Select/Diagnose</x:v>
      </x:c>
      <x:c r="G114" s="338" t="str">
        <x:v>Hard</x:v>
      </x:c>
      <x:c r="H114" s="355" t="str">
        <x:f>IF(COUNTIF('Initial Diagnostic'!$D$6:$D$65,A114)=0,"Not assessed",IF(COUNTIFS('Initial Diagnostic'!$D$6:$D$65,A114,'Initial Diagnostic'!$P$6:$P$65,"Gap")&gt;0,"Gap",IF(COUNTIFS('Initial Diagnostic'!$D$6:$D$65,A114,'Initial Diagnostic'!$P$6:$P$65,"Pass")&gt;0,"Passed","Not scored")))</x:f>
        <x:v>Not assessed</x:v>
      </x:c>
      <x:c r="I114" s="360" t="str"/>
      <x:c r="J114" s="360" t="str">
        <x:v>Not Started</x:v>
      </x:c>
      <x:c r="K114" s="360" t="str"/>
      <x:c r="L114" s="360" t="str"/>
      <x:c r="M114" s="360" t="str"/>
      <x:c r="N114" s="360" t="str"/>
      <x:c r="O114" s="355" t="str">
        <x:f>IF(OR(J114="Passed",J114="Mastered"),"Yes",IF(G114="Soft","Not required yet","No"))</x:f>
        <x:v>No</x:v>
      </x:c>
      <x:c r="P114" s="371" t="str"/>
      <x:c r="Q114" s="344" t="str"/>
      <x:c r="R114" s="338" t="str">
        <x:f>IF(AND(G114="Hard",O114&lt;&gt;"Yes"),"Potentially blocks dependent topics","")</x:f>
        <x:v>Potentially blocks dependent topics</x:v>
      </x:c>
      <x:c r="S114" s="339" t="str">
        <x:f>IF(J114="Mastered","Spaced review",IF(J114="Passed","Proceed to next eligible topic",IF(J114="Remediation","Complete targeted remediation",IF(H114="Gap","Start assigned learning method",IF(H114="Passed","Confirm with topic-level assessment","Not yet assessed")))))</x:f>
        <x:v>Not yet assessed</x:v>
      </x:c>
    </x:row>
    <x:row r="115" ht="38" customHeight="1">
      <x:c r="A115" s="354" t="n">
        <x:v>110</x:v>
      </x:c>
      <x:c r="B115" s="338" t="str">
        <x:v>Vector-store monitoring and index-health management</x:v>
      </x:c>
      <x:c r="C115" s="355" t="n">
        <x:v>9</x:v>
      </x:c>
      <x:c r="D115" s="338" t="str">
        <x:v>Layer 9 — Monitoring, evaluation, and troubleshooting</x:v>
      </x:c>
      <x:c r="E115" s="338" t="str">
        <x:v>18, 24, 104, 107</x:v>
      </x:c>
      <x:c r="F115" s="338" t="str">
        <x:v>Level 3 — Apply/Implement</x:v>
      </x:c>
      <x:c r="G115" s="338" t="str">
        <x:v>Soft</x:v>
      </x:c>
      <x:c r="H115" s="355" t="str">
        <x:f>IF(COUNTIF('Initial Diagnostic'!$D$6:$D$65,A115)=0,"Not assessed",IF(COUNTIFS('Initial Diagnostic'!$D$6:$D$65,A115,'Initial Diagnostic'!$P$6:$P$65,"Gap")&gt;0,"Gap",IF(COUNTIFS('Initial Diagnostic'!$D$6:$D$65,A115,'Initial Diagnostic'!$P$6:$P$65,"Pass")&gt;0,"Passed","Not scored")))</x:f>
        <x:v>Not assessed</x:v>
      </x:c>
      <x:c r="I115" s="360" t="str"/>
      <x:c r="J115" s="360" t="str">
        <x:v>Not Started</x:v>
      </x:c>
      <x:c r="K115" s="360" t="str"/>
      <x:c r="L115" s="360" t="str"/>
      <x:c r="M115" s="360" t="str"/>
      <x:c r="N115" s="360" t="str"/>
      <x:c r="O115" s="355" t="str">
        <x:f>IF(OR(J115="Passed",J115="Mastered"),"Yes",IF(G115="Soft","Not required yet","No"))</x:f>
        <x:v>Not required yet</x:v>
      </x:c>
      <x:c r="P115" s="371" t="str"/>
      <x:c r="Q115" s="344" t="str"/>
      <x:c r="R115" s="338" t="str">
        <x:f>IF(AND(G115="Hard",O115&lt;&gt;"Yes"),"Potentially blocks dependent topics","")</x:f>
      </x:c>
      <x:c r="S115" s="339" t="str">
        <x:f>IF(J115="Mastered","Spaced review",IF(J115="Passed","Proceed to next eligible topic",IF(J115="Remediation","Complete targeted remediation",IF(H115="Gap","Start assigned learning method",IF(H115="Passed","Confirm with topic-level assessment","Not yet assessed")))))</x:f>
        <x:v>Not yet assessed</x:v>
      </x:c>
    </x:row>
    <x:row r="116" ht="38" customHeight="1">
      <x:c r="A116" s="354" t="n">
        <x:v>111</x:v>
      </x:c>
      <x:c r="B116" s="338" t="str">
        <x:v>Tool-call and multi-agent coordination monitoring</x:v>
      </x:c>
      <x:c r="C116" s="355" t="n">
        <x:v>9</x:v>
      </x:c>
      <x:c r="D116" s="338" t="str">
        <x:v>Layer 9 — Monitoring, evaluation, and troubleshooting</x:v>
      </x:c>
      <x:c r="E116" s="338" t="str">
        <x:v>67, 72, 107</x:v>
      </x:c>
      <x:c r="F116" s="338" t="str">
        <x:v>Level 3 — Apply/Implement</x:v>
      </x:c>
      <x:c r="G116" s="338" t="str">
        <x:v>Soft</x:v>
      </x:c>
      <x:c r="H116" s="355" t="str">
        <x:f>IF(COUNTIF('Initial Diagnostic'!$D$6:$D$65,A116)=0,"Not assessed",IF(COUNTIFS('Initial Diagnostic'!$D$6:$D$65,A116,'Initial Diagnostic'!$P$6:$P$65,"Gap")&gt;0,"Gap",IF(COUNTIFS('Initial Diagnostic'!$D$6:$D$65,A116,'Initial Diagnostic'!$P$6:$P$65,"Pass")&gt;0,"Passed","Not scored")))</x:f>
        <x:v>Not assessed</x:v>
      </x:c>
      <x:c r="I116" s="360" t="str"/>
      <x:c r="J116" s="360" t="str">
        <x:v>Not Started</x:v>
      </x:c>
      <x:c r="K116" s="360" t="str"/>
      <x:c r="L116" s="360" t="str"/>
      <x:c r="M116" s="360" t="str"/>
      <x:c r="N116" s="360" t="str"/>
      <x:c r="O116" s="355" t="str">
        <x:f>IF(OR(J116="Passed",J116="Mastered"),"Yes",IF(G116="Soft","Not required yet","No"))</x:f>
        <x:v>Not required yet</x:v>
      </x:c>
      <x:c r="P116" s="371" t="str"/>
      <x:c r="Q116" s="344" t="str"/>
      <x:c r="R116" s="338" t="str">
        <x:f>IF(AND(G116="Hard",O116&lt;&gt;"Yes"),"Potentially blocks dependent topics","")</x:f>
      </x:c>
      <x:c r="S116" s="339" t="str">
        <x:f>IF(J116="Mastered","Spaced review",IF(J116="Passed","Proceed to next eligible topic",IF(J116="Remediation","Complete targeted remediation",IF(H116="Gap","Start assigned learning method",IF(H116="Passed","Confirm with topic-level assessment","Not yet assessed")))))</x:f>
        <x:v>Not yet assessed</x:v>
      </x:c>
    </x:row>
    <x:row r="117" ht="38" customHeight="1">
      <x:c r="A117" s="354" t="n">
        <x:v>112</x:v>
      </x:c>
      <x:c r="B117" s="338" t="str">
        <x:v>Business, compliance, forensic, and user-impact observability</x:v>
      </x:c>
      <x:c r="C117" s="355" t="n">
        <x:v>9</x:v>
      </x:c>
      <x:c r="D117" s="338" t="str">
        <x:v>Layer 9 — Monitoring, evaluation, and troubleshooting</x:v>
      </x:c>
      <x:c r="E117" s="338" t="str">
        <x:v>88, 89, 107, 108, 109, 110, 111</x:v>
      </x:c>
      <x:c r="F117" s="338" t="str">
        <x:v>Level 4 — Select/Diagnose</x:v>
      </x:c>
      <x:c r="G117" s="338" t="str">
        <x:v>Hard</x:v>
      </x:c>
      <x:c r="H117" s="355" t="str">
        <x:f>IF(COUNTIF('Initial Diagnostic'!$D$6:$D$65,A117)=0,"Not assessed",IF(COUNTIFS('Initial Diagnostic'!$D$6:$D$65,A117,'Initial Diagnostic'!$P$6:$P$65,"Gap")&gt;0,"Gap",IF(COUNTIFS('Initial Diagnostic'!$D$6:$D$65,A117,'Initial Diagnostic'!$P$6:$P$65,"Pass")&gt;0,"Passed","Not scored")))</x:f>
        <x:v>Not assessed</x:v>
      </x:c>
      <x:c r="I117" s="360" t="str"/>
      <x:c r="J117" s="360" t="str">
        <x:v>Not Started</x:v>
      </x:c>
      <x:c r="K117" s="360" t="str"/>
      <x:c r="L117" s="360" t="str"/>
      <x:c r="M117" s="360" t="str"/>
      <x:c r="N117" s="360" t="str"/>
      <x:c r="O117" s="355" t="str">
        <x:f>IF(OR(J117="Passed",J117="Mastered"),"Yes",IF(G117="Soft","Not required yet","No"))</x:f>
        <x:v>No</x:v>
      </x:c>
      <x:c r="P117" s="371" t="str"/>
      <x:c r="Q117" s="344" t="str"/>
      <x:c r="R117" s="338" t="str">
        <x:f>IF(AND(G117="Hard",O117&lt;&gt;"Yes"),"Potentially blocks dependent topics","")</x:f>
        <x:v>Potentially blocks dependent topics</x:v>
      </x:c>
      <x:c r="S117" s="339" t="str">
        <x:f>IF(J117="Mastered","Spaced review",IF(J117="Passed","Proceed to next eligible topic",IF(J117="Remediation","Complete targeted remediation",IF(H117="Gap","Start assigned learning method",IF(H117="Passed","Confirm with topic-level assessment","Not yet assessed")))))</x:f>
        <x:v>Not yet assessed</x:v>
      </x:c>
    </x:row>
    <x:row r="118" ht="38" customHeight="1">
      <x:c r="A118" s="354" t="n">
        <x:v>113</x:v>
      </x:c>
      <x:c r="B118" s="338" t="str">
        <x:v>Model-output quality metrics</x:v>
      </x:c>
      <x:c r="C118" s="355" t="n">
        <x:v>9</x:v>
      </x:c>
      <x:c r="D118" s="338" t="str">
        <x:v>Layer 9 — Monitoring, evaluation, and troubleshooting</x:v>
      </x:c>
      <x:c r="E118" s="338" t="str">
        <x:v>10, 109</x:v>
      </x:c>
      <x:c r="F118" s="338" t="str">
        <x:v>Level 3 — Apply/Implement</x:v>
      </x:c>
      <x:c r="G118" s="338" t="str">
        <x:v>Hard</x:v>
      </x:c>
      <x:c r="H118" s="355" t="str">
        <x:f>IF(COUNTIF('Initial Diagnostic'!$D$6:$D$65,A118)=0,"Not assessed",IF(COUNTIFS('Initial Diagnostic'!$D$6:$D$65,A118,'Initial Diagnostic'!$P$6:$P$65,"Gap")&gt;0,"Gap",IF(COUNTIFS('Initial Diagnostic'!$D$6:$D$65,A118,'Initial Diagnostic'!$P$6:$P$65,"Pass")&gt;0,"Passed","Not scored")))</x:f>
        <x:v>Not assessed</x:v>
      </x:c>
      <x:c r="I118" s="360" t="str"/>
      <x:c r="J118" s="360" t="str">
        <x:v>Not Started</x:v>
      </x:c>
      <x:c r="K118" s="360" t="str"/>
      <x:c r="L118" s="360" t="str"/>
      <x:c r="M118" s="360" t="str"/>
      <x:c r="N118" s="360" t="str"/>
      <x:c r="O118" s="355" t="str">
        <x:f>IF(OR(J118="Passed",J118="Mastered"),"Yes",IF(G118="Soft","Not required yet","No"))</x:f>
        <x:v>No</x:v>
      </x:c>
      <x:c r="P118" s="371" t="str"/>
      <x:c r="Q118" s="344" t="str"/>
      <x:c r="R118" s="338" t="str">
        <x:f>IF(AND(G118="Hard",O118&lt;&gt;"Yes"),"Potentially blocks dependent topics","")</x:f>
        <x:v>Potentially blocks dependent topics</x:v>
      </x:c>
      <x:c r="S118" s="339" t="str">
        <x:f>IF(J118="Mastered","Spaced review",IF(J118="Passed","Proceed to next eligible topic",IF(J118="Remediation","Complete targeted remediation",IF(H118="Gap","Start assigned learning method",IF(H118="Passed","Confirm with topic-level assessment","Not yet assessed")))))</x:f>
        <x:v>Not yet assessed</x:v>
      </x:c>
    </x:row>
    <x:row r="119" ht="38" customHeight="1">
      <x:c r="A119" s="354" t="n">
        <x:v>114</x:v>
      </x:c>
      <x:c r="B119" s="338" t="str">
        <x:v>Bedrock Model Evaluations</x:v>
      </x:c>
      <x:c r="C119" s="355" t="n">
        <x:v>9</x:v>
      </x:c>
      <x:c r="D119" s="338" t="str">
        <x:v>Layer 9 — Monitoring, evaluation, and troubleshooting</x:v>
      </x:c>
      <x:c r="E119" s="338" t="str">
        <x:v>39, 113</x:v>
      </x:c>
      <x:c r="F119" s="338" t="str">
        <x:v>Level 3 — Apply/Implement</x:v>
      </x:c>
      <x:c r="G119" s="338" t="str">
        <x:v>Soft</x:v>
      </x:c>
      <x:c r="H119" s="355" t="str">
        <x:f>IF(COUNTIF('Initial Diagnostic'!$D$6:$D$65,A119)=0,"Not assessed",IF(COUNTIFS('Initial Diagnostic'!$D$6:$D$65,A119,'Initial Diagnostic'!$P$6:$P$65,"Gap")&gt;0,"Gap",IF(COUNTIFS('Initial Diagnostic'!$D$6:$D$65,A119,'Initial Diagnostic'!$P$6:$P$65,"Pass")&gt;0,"Passed","Not scored")))</x:f>
        <x:v>Not assessed</x:v>
      </x:c>
      <x:c r="I119" s="360" t="str"/>
      <x:c r="J119" s="360" t="str">
        <x:v>Not Started</x:v>
      </x:c>
      <x:c r="K119" s="360" t="str"/>
      <x:c r="L119" s="360" t="str"/>
      <x:c r="M119" s="360" t="str"/>
      <x:c r="N119" s="360" t="str"/>
      <x:c r="O119" s="355" t="str">
        <x:f>IF(OR(J119="Passed",J119="Mastered"),"Yes",IF(G119="Soft","Not required yet","No"))</x:f>
        <x:v>Not required yet</x:v>
      </x:c>
      <x:c r="P119" s="371" t="str"/>
      <x:c r="Q119" s="344" t="str"/>
      <x:c r="R119" s="338" t="str">
        <x:f>IF(AND(G119="Hard",O119&lt;&gt;"Yes"),"Potentially blocks dependent topics","")</x:f>
      </x:c>
      <x:c r="S119" s="339" t="str">
        <x:f>IF(J119="Mastered","Spaced review",IF(J119="Passed","Proceed to next eligible topic",IF(J119="Remediation","Complete targeted remediation",IF(H119="Gap","Start assigned learning method",IF(H119="Passed","Confirm with topic-level assessment","Not yet assessed")))))</x:f>
        <x:v>Not yet assessed</x:v>
      </x:c>
    </x:row>
    <x:row r="120" ht="38" customHeight="1">
      <x:c r="A120" s="354" t="n">
        <x:v>115</x:v>
      </x:c>
      <x:c r="B120" s="338" t="str">
        <x:v>Human evaluation and annotation workflows</x:v>
      </x:c>
      <x:c r="C120" s="355" t="n">
        <x:v>9</x:v>
      </x:c>
      <x:c r="D120" s="338" t="str">
        <x:v>Layer 9 — Monitoring, evaluation, and troubleshooting</x:v>
      </x:c>
      <x:c r="E120" s="338" t="str">
        <x:v>10, 93, 113</x:v>
      </x:c>
      <x:c r="F120" s="338" t="str">
        <x:v>Level 3 — Apply/Implement</x:v>
      </x:c>
      <x:c r="G120" s="338" t="str">
        <x:v>Soft</x:v>
      </x:c>
      <x:c r="H120" s="355" t="str">
        <x:f>IF(COUNTIF('Initial Diagnostic'!$D$6:$D$65,A120)=0,"Not assessed",IF(COUNTIFS('Initial Diagnostic'!$D$6:$D$65,A120,'Initial Diagnostic'!$P$6:$P$65,"Gap")&gt;0,"Gap",IF(COUNTIFS('Initial Diagnostic'!$D$6:$D$65,A120,'Initial Diagnostic'!$P$6:$P$65,"Pass")&gt;0,"Passed","Not scored")))</x:f>
        <x:v>Not assessed</x:v>
      </x:c>
      <x:c r="I120" s="360" t="str"/>
      <x:c r="J120" s="360" t="str">
        <x:v>Not Started</x:v>
      </x:c>
      <x:c r="K120" s="360" t="str"/>
      <x:c r="L120" s="360" t="str"/>
      <x:c r="M120" s="360" t="str"/>
      <x:c r="N120" s="360" t="str"/>
      <x:c r="O120" s="355" t="str">
        <x:f>IF(OR(J120="Passed",J120="Mastered"),"Yes",IF(G120="Soft","Not required yet","No"))</x:f>
        <x:v>Not required yet</x:v>
      </x:c>
      <x:c r="P120" s="371" t="str"/>
      <x:c r="Q120" s="344" t="str"/>
      <x:c r="R120" s="338" t="str">
        <x:f>IF(AND(G120="Hard",O120&lt;&gt;"Yes"),"Potentially blocks dependent topics","")</x:f>
      </x:c>
      <x:c r="S120" s="339" t="str">
        <x:f>IF(J120="Mastered","Spaced review",IF(J120="Passed","Proceed to next eligible topic",IF(J120="Remediation","Complete targeted remediation",IF(H120="Gap","Start assigned learning method",IF(H120="Passed","Confirm with topic-level assessment","Not yet assessed")))))</x:f>
        <x:v>Not yet assessed</x:v>
      </x:c>
    </x:row>
    <x:row r="121" ht="38" customHeight="1">
      <x:c r="A121" s="354" t="n">
        <x:v>116</x:v>
      </x:c>
      <x:c r="B121" s="338" t="str">
        <x:v>LLM-as-a-judge evaluation</x:v>
      </x:c>
      <x:c r="C121" s="355" t="n">
        <x:v>9</x:v>
      </x:c>
      <x:c r="D121" s="338" t="str">
        <x:v>Layer 9 — Monitoring, evaluation, and troubleshooting</x:v>
      </x:c>
      <x:c r="E121" s="338" t="str">
        <x:v>10, 113, 115</x:v>
      </x:c>
      <x:c r="F121" s="338" t="str">
        <x:v>Level 3 — Apply/Implement</x:v>
      </x:c>
      <x:c r="G121" s="338" t="str">
        <x:v>Soft</x:v>
      </x:c>
      <x:c r="H121" s="355" t="str">
        <x:f>IF(COUNTIF('Initial Diagnostic'!$D$6:$D$65,A121)=0,"Not assessed",IF(COUNTIFS('Initial Diagnostic'!$D$6:$D$65,A121,'Initial Diagnostic'!$P$6:$P$65,"Gap")&gt;0,"Gap",IF(COUNTIFS('Initial Diagnostic'!$D$6:$D$65,A121,'Initial Diagnostic'!$P$6:$P$65,"Pass")&gt;0,"Passed","Not scored")))</x:f>
        <x:v>Not scored</x:v>
      </x:c>
      <x:c r="I121" s="360" t="str"/>
      <x:c r="J121" s="360" t="str">
        <x:v>Not Started</x:v>
      </x:c>
      <x:c r="K121" s="360" t="str"/>
      <x:c r="L121" s="360" t="str"/>
      <x:c r="M121" s="360" t="str"/>
      <x:c r="N121" s="360" t="str"/>
      <x:c r="O121" s="355" t="str">
        <x:f>IF(OR(J121="Passed",J121="Mastered"),"Yes",IF(G121="Soft","Not required yet","No"))</x:f>
        <x:v>Not required yet</x:v>
      </x:c>
      <x:c r="P121" s="371" t="str"/>
      <x:c r="Q121" s="344" t="str"/>
      <x:c r="R121" s="338" t="str">
        <x:f>IF(AND(G121="Hard",O121&lt;&gt;"Yes"),"Potentially blocks dependent topics","")</x:f>
      </x:c>
      <x:c r="S121" s="339" t="str">
        <x:f>IF(J121="Mastered","Spaced review",IF(J121="Passed","Proceed to next eligible topic",IF(J121="Remediation","Complete targeted remediation",IF(H121="Gap","Start assigned learning method",IF(H121="Passed","Confirm with topic-level assessment","Not yet assessed")))))</x:f>
        <x:v>Not yet assessed</x:v>
      </x:c>
    </x:row>
    <x:row r="122" ht="38" customHeight="1">
      <x:c r="A122" s="354" t="n">
        <x:v>117</x:v>
      </x:c>
      <x:c r="B122" s="338" t="str">
        <x:v>RAG evaluation</x:v>
      </x:c>
      <x:c r="C122" s="355" t="n">
        <x:v>9</x:v>
      </x:c>
      <x:c r="D122" s="338" t="str">
        <x:v>Layer 9 — Monitoring, evaluation, and troubleshooting</x:v>
      </x:c>
      <x:c r="E122" s="338" t="str">
        <x:v>26, 113</x:v>
      </x:c>
      <x:c r="F122" s="338" t="str">
        <x:v>Level 4 — Select/Diagnose</x:v>
      </x:c>
      <x:c r="G122" s="338" t="str">
        <x:v>Hard</x:v>
      </x:c>
      <x:c r="H122" s="355" t="str">
        <x:f>IF(COUNTIF('Initial Diagnostic'!$D$6:$D$65,A122)=0,"Not assessed",IF(COUNTIFS('Initial Diagnostic'!$D$6:$D$65,A122,'Initial Diagnostic'!$P$6:$P$65,"Gap")&gt;0,"Gap",IF(COUNTIFS('Initial Diagnostic'!$D$6:$D$65,A122,'Initial Diagnostic'!$P$6:$P$65,"Pass")&gt;0,"Passed","Not scored")))</x:f>
        <x:v>Not scored</x:v>
      </x:c>
      <x:c r="I122" s="360" t="str"/>
      <x:c r="J122" s="360" t="str">
        <x:v>Not Started</x:v>
      </x:c>
      <x:c r="K122" s="360" t="str"/>
      <x:c r="L122" s="360" t="str"/>
      <x:c r="M122" s="360" t="str"/>
      <x:c r="N122" s="360" t="str"/>
      <x:c r="O122" s="355" t="str">
        <x:f>IF(OR(J122="Passed",J122="Mastered"),"Yes",IF(G122="Soft","Not required yet","No"))</x:f>
        <x:v>No</x:v>
      </x:c>
      <x:c r="P122" s="371" t="str"/>
      <x:c r="Q122" s="344" t="str"/>
      <x:c r="R122" s="338" t="str">
        <x:f>IF(AND(G122="Hard",O122&lt;&gt;"Yes"),"Potentially blocks dependent topics","")</x:f>
        <x:v>Potentially blocks dependent topics</x:v>
      </x:c>
      <x:c r="S122" s="339" t="str">
        <x:f>IF(J122="Mastered","Spaced review",IF(J122="Passed","Proceed to next eligible topic",IF(J122="Remediation","Complete targeted remediation",IF(H122="Gap","Start assigned learning method",IF(H122="Passed","Confirm with topic-level assessment","Not yet assessed")))))</x:f>
        <x:v>Not yet assessed</x:v>
      </x:c>
    </x:row>
    <x:row r="123" ht="38" customHeight="1">
      <x:c r="A123" s="354" t="n">
        <x:v>118</x:v>
      </x:c>
      <x:c r="B123" s="338" t="str">
        <x:v>Agent evaluation</x:v>
      </x:c>
      <x:c r="C123" s="355" t="n">
        <x:v>9</x:v>
      </x:c>
      <x:c r="D123" s="338" t="str">
        <x:v>Layer 9 — Monitoring, evaluation, and troubleshooting</x:v>
      </x:c>
      <x:c r="E123" s="338" t="str">
        <x:v>73, 113</x:v>
      </x:c>
      <x:c r="F123" s="338" t="str">
        <x:v>Level 4 — Select/Diagnose</x:v>
      </x:c>
      <x:c r="G123" s="338" t="str">
        <x:v>Soft</x:v>
      </x:c>
      <x:c r="H123" s="355" t="str">
        <x:f>IF(COUNTIF('Initial Diagnostic'!$D$6:$D$65,A123)=0,"Not assessed",IF(COUNTIFS('Initial Diagnostic'!$D$6:$D$65,A123,'Initial Diagnostic'!$P$6:$P$65,"Gap")&gt;0,"Gap",IF(COUNTIFS('Initial Diagnostic'!$D$6:$D$65,A123,'Initial Diagnostic'!$P$6:$P$65,"Pass")&gt;0,"Passed","Not scored")))</x:f>
        <x:v>Not assessed</x:v>
      </x:c>
      <x:c r="I123" s="360" t="str"/>
      <x:c r="J123" s="360" t="str">
        <x:v>Not Started</x:v>
      </x:c>
      <x:c r="K123" s="360" t="str"/>
      <x:c r="L123" s="360" t="str"/>
      <x:c r="M123" s="360" t="str"/>
      <x:c r="N123" s="360" t="str"/>
      <x:c r="O123" s="355" t="str">
        <x:f>IF(OR(J123="Passed",J123="Mastered"),"Yes",IF(G123="Soft","Not required yet","No"))</x:f>
        <x:v>Not required yet</x:v>
      </x:c>
      <x:c r="P123" s="371" t="str"/>
      <x:c r="Q123" s="344" t="str"/>
      <x:c r="R123" s="338" t="str">
        <x:f>IF(AND(G123="Hard",O123&lt;&gt;"Yes"),"Potentially blocks dependent topics","")</x:f>
      </x:c>
      <x:c r="S123" s="339" t="str">
        <x:f>IF(J123="Mastered","Spaced review",IF(J123="Passed","Proceed to next eligible topic",IF(J123="Remediation","Complete targeted remediation",IF(H123="Gap","Start assigned learning method",IF(H123="Passed","Confirm with topic-level assessment","Not yet assessed")))))</x:f>
        <x:v>Not yet assessed</x:v>
      </x:c>
    </x:row>
    <x:row r="124" ht="38" customHeight="1">
      <x:c r="A124" s="354" t="n">
        <x:v>119</x:v>
      </x:c>
      <x:c r="B124" s="338" t="str">
        <x:v>A/B testing, canary testing, and multi-model comparison</x:v>
      </x:c>
      <x:c r="C124" s="355" t="n">
        <x:v>9</x:v>
      </x:c>
      <x:c r="D124" s="338" t="str">
        <x:v>Layer 9 — Monitoring, evaluation, and troubleshooting</x:v>
      </x:c>
      <x:c r="E124" s="338" t="str">
        <x:v>39, 40, 105, 113, 114</x:v>
      </x:c>
      <x:c r="F124" s="338" t="str">
        <x:v>Level 4 — Select/Diagnose</x:v>
      </x:c>
      <x:c r="G124" s="338" t="str">
        <x:v>Soft</x:v>
      </x:c>
      <x:c r="H124" s="355" t="str">
        <x:f>IF(COUNTIF('Initial Diagnostic'!$D$6:$D$65,A124)=0,"Not assessed",IF(COUNTIFS('Initial Diagnostic'!$D$6:$D$65,A124,'Initial Diagnostic'!$P$6:$P$65,"Gap")&gt;0,"Gap",IF(COUNTIFS('Initial Diagnostic'!$D$6:$D$65,A124,'Initial Diagnostic'!$P$6:$P$65,"Pass")&gt;0,"Passed","Not scored")))</x:f>
        <x:v>Not scored</x:v>
      </x:c>
      <x:c r="I124" s="360" t="str"/>
      <x:c r="J124" s="360" t="str">
        <x:v>Not Started</x:v>
      </x:c>
      <x:c r="K124" s="360" t="str"/>
      <x:c r="L124" s="360" t="str"/>
      <x:c r="M124" s="360" t="str"/>
      <x:c r="N124" s="360" t="str"/>
      <x:c r="O124" s="355" t="str">
        <x:f>IF(OR(J124="Passed",J124="Mastered"),"Yes",IF(G124="Soft","Not required yet","No"))</x:f>
        <x:v>Not required yet</x:v>
      </x:c>
      <x:c r="P124" s="371" t="str"/>
      <x:c r="Q124" s="344" t="str"/>
      <x:c r="R124" s="338" t="str">
        <x:f>IF(AND(G124="Hard",O124&lt;&gt;"Yes"),"Potentially blocks dependent topics","")</x:f>
      </x:c>
      <x:c r="S124" s="339" t="str">
        <x:f>IF(J124="Mastered","Spaced review",IF(J124="Passed","Proceed to next eligible topic",IF(J124="Remediation","Complete targeted remediation",IF(H124="Gap","Start assigned learning method",IF(H124="Passed","Confirm with topic-level assessment","Not yet assessed")))))</x:f>
        <x:v>Not yet assessed</x:v>
      </x:c>
    </x:row>
    <x:row r="125" ht="38" customHeight="1">
      <x:c r="A125" s="354" t="n">
        <x:v>120</x:v>
      </x:c>
      <x:c r="B125" s="338" t="str">
        <x:v>Continuous evaluation and regression testing</x:v>
      </x:c>
      <x:c r="C125" s="355" t="n">
        <x:v>9</x:v>
      </x:c>
      <x:c r="D125" s="338" t="str">
        <x:v>Layer 9 — Monitoring, evaluation, and troubleshooting</x:v>
      </x:c>
      <x:c r="E125" s="338" t="str">
        <x:v>30, 59, 109, 113</x:v>
      </x:c>
      <x:c r="F125" s="338" t="str">
        <x:v>Level 3 — Apply/Implement</x:v>
      </x:c>
      <x:c r="G125" s="338" t="str">
        <x:v>Hard</x:v>
      </x:c>
      <x:c r="H125" s="355" t="str">
        <x:f>IF(COUNTIF('Initial Diagnostic'!$D$6:$D$65,A125)=0,"Not assessed",IF(COUNTIFS('Initial Diagnostic'!$D$6:$D$65,A125,'Initial Diagnostic'!$P$6:$P$65,"Gap")&gt;0,"Gap",IF(COUNTIFS('Initial Diagnostic'!$D$6:$D$65,A125,'Initial Diagnostic'!$P$6:$P$65,"Pass")&gt;0,"Passed","Not scored")))</x:f>
        <x:v>Not scored</x:v>
      </x:c>
      <x:c r="I125" s="360" t="str"/>
      <x:c r="J125" s="360" t="str">
        <x:v>Not Started</x:v>
      </x:c>
      <x:c r="K125" s="360" t="str"/>
      <x:c r="L125" s="360" t="str"/>
      <x:c r="M125" s="360" t="str"/>
      <x:c r="N125" s="360" t="str"/>
      <x:c r="O125" s="355" t="str">
        <x:f>IF(OR(J125="Passed",J125="Mastered"),"Yes",IF(G125="Soft","Not required yet","No"))</x:f>
        <x:v>No</x:v>
      </x:c>
      <x:c r="P125" s="371" t="str"/>
      <x:c r="Q125" s="344" t="str"/>
      <x:c r="R125" s="338" t="str">
        <x:f>IF(AND(G125="Hard",O125&lt;&gt;"Yes"),"Potentially blocks dependent topics","")</x:f>
        <x:v>Potentially blocks dependent topics</x:v>
      </x:c>
      <x:c r="S125" s="339" t="str">
        <x:f>IF(J125="Mastered","Spaced review",IF(J125="Passed","Proceed to next eligible topic",IF(J125="Remediation","Complete targeted remediation",IF(H125="Gap","Start assigned learning method",IF(H125="Passed","Confirm with topic-level assessment","Not yet assessed")))))</x:f>
        <x:v>Not yet assessed</x:v>
      </x:c>
    </x:row>
    <x:row r="126" ht="38" customHeight="1">
      <x:c r="A126" s="354" t="n">
        <x:v>121</x:v>
      </x:c>
      <x:c r="B126" s="338" t="str">
        <x:v>Synthetic-user and deployment-validation workflows</x:v>
      </x:c>
      <x:c r="C126" s="355" t="n">
        <x:v>9</x:v>
      </x:c>
      <x:c r="D126" s="338" t="str">
        <x:v>Layer 9 — Monitoring, evaluation, and troubleshooting</x:v>
      </x:c>
      <x:c r="E126" s="338" t="str">
        <x:v>59, 113, 119, 120</x:v>
      </x:c>
      <x:c r="F126" s="338" t="str">
        <x:v>Level 3 — Apply/Implement</x:v>
      </x:c>
      <x:c r="G126" s="338" t="str">
        <x:v>Soft</x:v>
      </x:c>
      <x:c r="H126" s="355" t="str">
        <x:f>IF(COUNTIF('Initial Diagnostic'!$D$6:$D$65,A126)=0,"Not assessed",IF(COUNTIFS('Initial Diagnostic'!$D$6:$D$65,A126,'Initial Diagnostic'!$P$6:$P$65,"Gap")&gt;0,"Gap",IF(COUNTIFS('Initial Diagnostic'!$D$6:$D$65,A126,'Initial Diagnostic'!$P$6:$P$65,"Pass")&gt;0,"Passed","Not scored")))</x:f>
        <x:v>Not assessed</x:v>
      </x:c>
      <x:c r="I126" s="360" t="str"/>
      <x:c r="J126" s="360" t="str">
        <x:v>Not Started</x:v>
      </x:c>
      <x:c r="K126" s="360" t="str"/>
      <x:c r="L126" s="360" t="str"/>
      <x:c r="M126" s="360" t="str"/>
      <x:c r="N126" s="360" t="str"/>
      <x:c r="O126" s="355" t="str">
        <x:f>IF(OR(J126="Passed",J126="Mastered"),"Yes",IF(G126="Soft","Not required yet","No"))</x:f>
        <x:v>Not required yet</x:v>
      </x:c>
      <x:c r="P126" s="371" t="str"/>
      <x:c r="Q126" s="344" t="str"/>
      <x:c r="R126" s="338" t="str">
        <x:f>IF(AND(G126="Hard",O126&lt;&gt;"Yes"),"Potentially blocks dependent topics","")</x:f>
      </x:c>
      <x:c r="S126" s="339" t="str">
        <x:f>IF(J126="Mastered","Spaced review",IF(J126="Passed","Proceed to next eligible topic",IF(J126="Remediation","Complete targeted remediation",IF(H126="Gap","Start assigned learning method",IF(H126="Passed","Confirm with topic-level assessment","Not yet assessed")))))</x:f>
        <x:v>Not yet assessed</x:v>
      </x:c>
    </x:row>
    <x:row r="127" ht="38" customHeight="1">
      <x:c r="A127" s="354" t="n">
        <x:v>122</x:v>
      </x:c>
      <x:c r="B127" s="338" t="str">
        <x:v>Context-window, truncation, and content-handling troubleshooting</x:v>
      </x:c>
      <x:c r="C127" s="355" t="n">
        <x:v>9</x:v>
      </x:c>
      <x:c r="D127" s="338" t="str">
        <x:v>Layer 9 — Monitoring, evaluation, and troubleshooting</x:v>
      </x:c>
      <x:c r="E127" s="338" t="str">
        <x:v>2, 15, 20, 38, 107</x:v>
      </x:c>
      <x:c r="F127" s="338" t="str">
        <x:v>Level 4 — Select/Diagnose</x:v>
      </x:c>
      <x:c r="G127" s="338" t="str">
        <x:v>Hard</x:v>
      </x:c>
      <x:c r="H127" s="355" t="str">
        <x:f>IF(COUNTIF('Initial Diagnostic'!$D$6:$D$65,A127)=0,"Not assessed",IF(COUNTIFS('Initial Diagnostic'!$D$6:$D$65,A127,'Initial Diagnostic'!$P$6:$P$65,"Gap")&gt;0,"Gap",IF(COUNTIFS('Initial Diagnostic'!$D$6:$D$65,A127,'Initial Diagnostic'!$P$6:$P$65,"Pass")&gt;0,"Passed","Not scored")))</x:f>
        <x:v>Not assessed</x:v>
      </x:c>
      <x:c r="I127" s="360" t="str"/>
      <x:c r="J127" s="360" t="str">
        <x:v>Not Started</x:v>
      </x:c>
      <x:c r="K127" s="360" t="str"/>
      <x:c r="L127" s="360" t="str"/>
      <x:c r="M127" s="360" t="str"/>
      <x:c r="N127" s="360" t="str"/>
      <x:c r="O127" s="355" t="str">
        <x:f>IF(OR(J127="Passed",J127="Mastered"),"Yes",IF(G127="Soft","Not required yet","No"))</x:f>
        <x:v>No</x:v>
      </x:c>
      <x:c r="P127" s="371" t="str"/>
      <x:c r="Q127" s="344" t="str"/>
      <x:c r="R127" s="338" t="str">
        <x:f>IF(AND(G127="Hard",O127&lt;&gt;"Yes"),"Potentially blocks dependent topics","")</x:f>
        <x:v>Potentially blocks dependent topics</x:v>
      </x:c>
      <x:c r="S127" s="339" t="str">
        <x:f>IF(J127="Mastered","Spaced review",IF(J127="Passed","Proceed to next eligible topic",IF(J127="Remediation","Complete targeted remediation",IF(H127="Gap","Start assigned learning method",IF(H127="Passed","Confirm with topic-level assessment","Not yet assessed")))))</x:f>
        <x:v>Not yet assessed</x:v>
      </x:c>
    </x:row>
    <x:row r="128" ht="38" customHeight="1">
      <x:c r="A128" s="354" t="n">
        <x:v>123</x:v>
      </x:c>
      <x:c r="B128" s="338" t="str">
        <x:v>FM API and integration troubleshooting</x:v>
      </x:c>
      <x:c r="C128" s="355" t="n">
        <x:v>9</x:v>
      </x:c>
      <x:c r="D128" s="338" t="str">
        <x:v>Layer 9 — Monitoring, evaluation, and troubleshooting</x:v>
      </x:c>
      <x:c r="E128" s="338" t="str">
        <x:v>32, 33, 34, 35, 36, 37, 38, 107</x:v>
      </x:c>
      <x:c r="F128" s="338" t="str">
        <x:v>Level 4 — Select/Diagnose</x:v>
      </x:c>
      <x:c r="G128" s="338" t="str">
        <x:v>Hard</x:v>
      </x:c>
      <x:c r="H128" s="355" t="str">
        <x:f>IF(COUNTIF('Initial Diagnostic'!$D$6:$D$65,A128)=0,"Not assessed",IF(COUNTIFS('Initial Diagnostic'!$D$6:$D$65,A128,'Initial Diagnostic'!$P$6:$P$65,"Gap")&gt;0,"Gap",IF(COUNTIFS('Initial Diagnostic'!$D$6:$D$65,A128,'Initial Diagnostic'!$P$6:$P$65,"Pass")&gt;0,"Passed","Not scored")))</x:f>
        <x:v>Not assessed</x:v>
      </x:c>
      <x:c r="I128" s="360" t="str"/>
      <x:c r="J128" s="360" t="str">
        <x:v>Not Started</x:v>
      </x:c>
      <x:c r="K128" s="360" t="str"/>
      <x:c r="L128" s="360" t="str"/>
      <x:c r="M128" s="360" t="str"/>
      <x:c r="N128" s="360" t="str"/>
      <x:c r="O128" s="355" t="str">
        <x:f>IF(OR(J128="Passed",J128="Mastered"),"Yes",IF(G128="Soft","Not required yet","No"))</x:f>
        <x:v>No</x:v>
      </x:c>
      <x:c r="P128" s="371" t="str"/>
      <x:c r="Q128" s="344" t="str"/>
      <x:c r="R128" s="338" t="str">
        <x:f>IF(AND(G128="Hard",O128&lt;&gt;"Yes"),"Potentially blocks dependent topics","")</x:f>
        <x:v>Potentially blocks dependent topics</x:v>
      </x:c>
      <x:c r="S128" s="339" t="str">
        <x:f>IF(J128="Mastered","Spaced review",IF(J128="Passed","Proceed to next eligible topic",IF(J128="Remediation","Complete targeted remediation",IF(H128="Gap","Start assigned learning method",IF(H128="Passed","Confirm with topic-level assessment","Not yet assessed")))))</x:f>
        <x:v>Not yet assessed</x:v>
      </x:c>
    </x:row>
    <x:row r="129" ht="38" customHeight="1">
      <x:c r="A129" s="354" t="n">
        <x:v>124</x:v>
      </x:c>
      <x:c r="B129" s="338" t="str">
        <x:v>Prompt troubleshooting and maintenance</x:v>
      </x:c>
      <x:c r="C129" s="355" t="n">
        <x:v>9</x:v>
      </x:c>
      <x:c r="D129" s="338" t="str">
        <x:v>Layer 9 — Monitoring, evaluation, and troubleshooting</x:v>
      </x:c>
      <x:c r="E129" s="338" t="str">
        <x:v>28, 29, 30, 31, 109, 120</x:v>
      </x:c>
      <x:c r="F129" s="338" t="str">
        <x:v>Level 4 — Select/Diagnose</x:v>
      </x:c>
      <x:c r="G129" s="338" t="str">
        <x:v>Hard</x:v>
      </x:c>
      <x:c r="H129" s="355" t="str">
        <x:f>IF(COUNTIF('Initial Diagnostic'!$D$6:$D$65,A129)=0,"Not assessed",IF(COUNTIFS('Initial Diagnostic'!$D$6:$D$65,A129,'Initial Diagnostic'!$P$6:$P$65,"Gap")&gt;0,"Gap",IF(COUNTIFS('Initial Diagnostic'!$D$6:$D$65,A129,'Initial Diagnostic'!$P$6:$P$65,"Pass")&gt;0,"Passed","Not scored")))</x:f>
        <x:v>Not assessed</x:v>
      </x:c>
      <x:c r="I129" s="360" t="str"/>
      <x:c r="J129" s="360" t="str">
        <x:v>Not Started</x:v>
      </x:c>
      <x:c r="K129" s="360" t="str"/>
      <x:c r="L129" s="360" t="str"/>
      <x:c r="M129" s="360" t="str"/>
      <x:c r="N129" s="360" t="str"/>
      <x:c r="O129" s="355" t="str">
        <x:f>IF(OR(J129="Passed",J129="Mastered"),"Yes",IF(G129="Soft","Not required yet","No"))</x:f>
        <x:v>No</x:v>
      </x:c>
      <x:c r="P129" s="371" t="str"/>
      <x:c r="Q129" s="344" t="str"/>
      <x:c r="R129" s="338" t="str">
        <x:f>IF(AND(G129="Hard",O129&lt;&gt;"Yes"),"Potentially blocks dependent topics","")</x:f>
        <x:v>Potentially blocks dependent topics</x:v>
      </x:c>
      <x:c r="S129" s="339" t="str">
        <x:f>IF(J129="Mastered","Spaced review",IF(J129="Passed","Proceed to next eligible topic",IF(J129="Remediation","Complete targeted remediation",IF(H129="Gap","Start assigned learning method",IF(H129="Passed","Confirm with topic-level assessment","Not yet assessed")))))</x:f>
        <x:v>Not yet assessed</x:v>
      </x:c>
    </x:row>
    <x:row r="130" ht="38" customHeight="1">
      <x:c r="A130" s="354" t="n">
        <x:v>125</x:v>
      </x:c>
      <x:c r="B130" s="338" t="str">
        <x:v>Embedding, chunking, indexing, and retrieval troubleshooting</x:v>
      </x:c>
      <x:c r="C130" s="355" t="n">
        <x:v>9</x:v>
      </x:c>
      <x:c r="D130" s="338" t="str">
        <x:v>Layer 9 — Monitoring, evaluation, and troubleshooting</x:v>
      </x:c>
      <x:c r="E130" s="338" t="str">
        <x:v>26, 110, 117</x:v>
      </x:c>
      <x:c r="F130" s="338" t="str">
        <x:v>Level 4 — Select/Diagnose</x:v>
      </x:c>
      <x:c r="G130" s="338" t="str">
        <x:v>Hard</x:v>
      </x:c>
      <x:c r="H130" s="355" t="str">
        <x:f>IF(COUNTIF('Initial Diagnostic'!$D$6:$D$65,A130)=0,"Not assessed",IF(COUNTIFS('Initial Diagnostic'!$D$6:$D$65,A130,'Initial Diagnostic'!$P$6:$P$65,"Gap")&gt;0,"Gap",IF(COUNTIFS('Initial Diagnostic'!$D$6:$D$65,A130,'Initial Diagnostic'!$P$6:$P$65,"Pass")&gt;0,"Passed","Not scored")))</x:f>
        <x:v>Not assessed</x:v>
      </x:c>
      <x:c r="I130" s="360" t="str"/>
      <x:c r="J130" s="360" t="str">
        <x:v>Not Started</x:v>
      </x:c>
      <x:c r="K130" s="360" t="str"/>
      <x:c r="L130" s="360" t="str"/>
      <x:c r="M130" s="360" t="str"/>
      <x:c r="N130" s="360" t="str"/>
      <x:c r="O130" s="355" t="str">
        <x:f>IF(OR(J130="Passed",J130="Mastered"),"Yes",IF(G130="Soft","Not required yet","No"))</x:f>
        <x:v>No</x:v>
      </x:c>
      <x:c r="P130" s="371" t="str"/>
      <x:c r="Q130" s="344" t="str"/>
      <x:c r="R130" s="338" t="str">
        <x:f>IF(AND(G130="Hard",O130&lt;&gt;"Yes"),"Potentially blocks dependent topics","")</x:f>
        <x:v>Potentially blocks dependent topics</x:v>
      </x:c>
      <x:c r="S130" s="339" t="str">
        <x:f>IF(J130="Mastered","Spaced review",IF(J130="Passed","Proceed to next eligible topic",IF(J130="Remediation","Complete targeted remediation",IF(H130="Gap","Start assigned learning method",IF(H130="Passed","Confirm with topic-level assessment","Not yet assessed")))))</x:f>
        <x:v>Not yet assessed</x:v>
      </x:c>
    </x:row>
    <x:row r="131" ht="38" customHeight="1">
      <x:c r="A131" s="354" t="n">
        <x:v>126</x:v>
      </x:c>
      <x:c r="B131" s="338" t="str">
        <x:v>Agent and tool-use troubleshooting</x:v>
      </x:c>
      <x:c r="C131" s="355" t="n">
        <x:v>9</x:v>
      </x:c>
      <x:c r="D131" s="338" t="str">
        <x:v>Layer 9 — Monitoring, evaluation, and troubleshooting</x:v>
      </x:c>
      <x:c r="E131" s="338" t="str">
        <x:v>64, 67, 68, 71, 72, 73, 111, 118</x:v>
      </x:c>
      <x:c r="F131" s="338" t="str">
        <x:v>Level 4 — Select/Diagnose</x:v>
      </x:c>
      <x:c r="G131" s="338" t="str">
        <x:v>Hard</x:v>
      </x:c>
      <x:c r="H131" s="355" t="str">
        <x:f>IF(COUNTIF('Initial Diagnostic'!$D$6:$D$65,A131)=0,"Not assessed",IF(COUNTIFS('Initial Diagnostic'!$D$6:$D$65,A131,'Initial Diagnostic'!$P$6:$P$65,"Gap")&gt;0,"Gap",IF(COUNTIFS('Initial Diagnostic'!$D$6:$D$65,A131,'Initial Diagnostic'!$P$6:$P$65,"Pass")&gt;0,"Passed","Not scored")))</x:f>
        <x:v>Not assessed</x:v>
      </x:c>
      <x:c r="I131" s="360" t="str"/>
      <x:c r="J131" s="360" t="str">
        <x:v>Not Started</x:v>
      </x:c>
      <x:c r="K131" s="360" t="str"/>
      <x:c r="L131" s="360" t="str"/>
      <x:c r="M131" s="360" t="str"/>
      <x:c r="N131" s="360" t="str"/>
      <x:c r="O131" s="355" t="str">
        <x:f>IF(OR(J131="Passed",J131="Mastered"),"Yes",IF(G131="Soft","Not required yet","No"))</x:f>
        <x:v>No</x:v>
      </x:c>
      <x:c r="P131" s="371" t="str"/>
      <x:c r="Q131" s="344" t="str"/>
      <x:c r="R131" s="338" t="str">
        <x:f>IF(AND(G131="Hard",O131&lt;&gt;"Yes"),"Potentially blocks dependent topics","")</x:f>
        <x:v>Potentially blocks dependent topics</x:v>
      </x:c>
      <x:c r="S131" s="339" t="str">
        <x:f>IF(J131="Mastered","Spaced review",IF(J131="Passed","Proceed to next eligible topic",IF(J131="Remediation","Complete targeted remediation",IF(H131="Gap","Start assigned learning method",IF(H131="Passed","Confirm with topic-level assessment","Not yet assessed")))))</x:f>
        <x:v>Not yet assessed</x:v>
      </x:c>
    </x:row>
    <x:row r="132" ht="38" customHeight="1">
      <x:c r="A132" s="354" t="n">
        <x:v>127</x:v>
      </x:c>
      <x:c r="B132" s="338" t="str">
        <x:v>Cost, latency, throughput, and scaling troubleshooting</x:v>
      </x:c>
      <x:c r="C132" s="355" t="n">
        <x:v>9</x:v>
      </x:c>
      <x:c r="D132" s="338" t="str">
        <x:v>Layer 9 — Monitoring, evaluation, and troubleshooting</x:v>
      </x:c>
      <x:c r="E132" s="338" t="str">
        <x:v>96, 97, 98, 99, 100, 101, 102, 103, 104, 105, 106, 108</x:v>
      </x:c>
      <x:c r="F132" s="338" t="str">
        <x:v>Level 4 — Select/Diagnose</x:v>
      </x:c>
      <x:c r="G132" s="338" t="str">
        <x:v>Hard</x:v>
      </x:c>
      <x:c r="H132" s="355" t="str">
        <x:f>IF(COUNTIF('Initial Diagnostic'!$D$6:$D$65,A132)=0,"Not assessed",IF(COUNTIFS('Initial Diagnostic'!$D$6:$D$65,A132,'Initial Diagnostic'!$P$6:$P$65,"Gap")&gt;0,"Gap",IF(COUNTIFS('Initial Diagnostic'!$D$6:$D$65,A132,'Initial Diagnostic'!$P$6:$P$65,"Pass")&gt;0,"Passed","Not scored")))</x:f>
        <x:v>Not assessed</x:v>
      </x:c>
      <x:c r="I132" s="360" t="str"/>
      <x:c r="J132" s="360" t="str">
        <x:v>Not Started</x:v>
      </x:c>
      <x:c r="K132" s="360" t="str"/>
      <x:c r="L132" s="360" t="str"/>
      <x:c r="M132" s="360" t="str"/>
      <x:c r="N132" s="360" t="str"/>
      <x:c r="O132" s="355" t="str">
        <x:f>IF(OR(J132="Passed",J132="Mastered"),"Yes",IF(G132="Soft","Not required yet","No"))</x:f>
        <x:v>No</x:v>
      </x:c>
      <x:c r="P132" s="371" t="str"/>
      <x:c r="Q132" s="344" t="str"/>
      <x:c r="R132" s="338" t="str">
        <x:f>IF(AND(G132="Hard",O132&lt;&gt;"Yes"),"Potentially blocks dependent topics","")</x:f>
        <x:v>Potentially blocks dependent topics</x:v>
      </x:c>
      <x:c r="S132" s="339" t="str">
        <x:f>IF(J132="Mastered","Spaced review",IF(J132="Passed","Proceed to next eligible topic",IF(J132="Remediation","Complete targeted remediation",IF(H132="Gap","Start assigned learning method",IF(H132="Passed","Confirm with topic-level assessment","Not yet assessed")))))</x:f>
        <x:v>Not yet assessed</x:v>
      </x:c>
    </x:row>
    <x:row r="133" ht="38" customHeight="1">
      <x:c r="A133" s="354" t="n">
        <x:v>128</x:v>
      </x:c>
      <x:c r="B133" s="338" t="str">
        <x:v>End-to-end incident analysis and root-cause diagnosis</x:v>
      </x:c>
      <x:c r="C133" s="355" t="n">
        <x:v>9</x:v>
      </x:c>
      <x:c r="D133" s="338" t="str">
        <x:v>Layer 9 — Monitoring, evaluation, and troubleshooting</x:v>
      </x:c>
      <x:c r="E133" s="338" t="str">
        <x:v>107, 112, 122, 123, 124, 125, 126, 127</x:v>
      </x:c>
      <x:c r="F133" s="338" t="str">
        <x:v>Level 4 — Select/Diagnose</x:v>
      </x:c>
      <x:c r="G133" s="338" t="str">
        <x:v>Hard</x:v>
      </x:c>
      <x:c r="H133" s="355" t="str">
        <x:f>IF(COUNTIF('Initial Diagnostic'!$D$6:$D$65,A133)=0,"Not assessed",IF(COUNTIFS('Initial Diagnostic'!$D$6:$D$65,A133,'Initial Diagnostic'!$P$6:$P$65,"Gap")&gt;0,"Gap",IF(COUNTIFS('Initial Diagnostic'!$D$6:$D$65,A133,'Initial Diagnostic'!$P$6:$P$65,"Pass")&gt;0,"Passed","Not scored")))</x:f>
        <x:v>Not scored</x:v>
      </x:c>
      <x:c r="I133" s="360" t="str"/>
      <x:c r="J133" s="360" t="str">
        <x:v>Not Started</x:v>
      </x:c>
      <x:c r="K133" s="360" t="str"/>
      <x:c r="L133" s="360" t="str"/>
      <x:c r="M133" s="360" t="str"/>
      <x:c r="N133" s="360" t="str"/>
      <x:c r="O133" s="355" t="str">
        <x:f>IF(OR(J133="Passed",J133="Mastered"),"Yes",IF(G133="Soft","Not required yet","No"))</x:f>
        <x:v>No</x:v>
      </x:c>
      <x:c r="P133" s="371" t="str"/>
      <x:c r="Q133" s="344" t="str"/>
      <x:c r="R133" s="338" t="str">
        <x:f>IF(AND(G133="Hard",O133&lt;&gt;"Yes"),"Potentially blocks dependent topics","")</x:f>
        <x:v>Potentially blocks dependent topics</x:v>
      </x:c>
      <x:c r="S133" s="339" t="str">
        <x:f>IF(J133="Mastered","Spaced review",IF(J133="Passed","Proceed to next eligible topic",IF(J133="Remediation","Complete targeted remediation",IF(H133="Gap","Start assigned learning method",IF(H133="Passed","Confirm with topic-level assessment","Not yet assessed")))))</x:f>
        <x:v>Not yet assessed</x:v>
      </x:c>
    </x:row>
    <x:row r="134" ht="38" customHeight="1">
      <x:c r="A134" s="354" t="n">
        <x:v>129</x:v>
      </x:c>
      <x:c r="B134" s="338" t="str">
        <x:v>End-to-end GenAI architecture design</x:v>
      </x:c>
      <x:c r="C134" s="355" t="n">
        <x:v>10</x:v>
      </x:c>
      <x:c r="D134" s="338" t="str">
        <x:v>Final integration</x:v>
      </x:c>
      <x:c r="E134" s="338" t="str">
        <x:v>6, 20, 31, 48, 56, 71, 80, 95, 106, 112, 128</x:v>
      </x:c>
      <x:c r="F134" s="338" t="str">
        <x:v>Level 5 — Design/Defend</x:v>
      </x:c>
      <x:c r="G134" s="338" t="str">
        <x:v>Capstone</x:v>
      </x:c>
      <x:c r="H134" s="355" t="str">
        <x:f>IF(COUNTIF('Initial Diagnostic'!$D$6:$D$65,A134)=0,"Not assessed",IF(COUNTIFS('Initial Diagnostic'!$D$6:$D$65,A134,'Initial Diagnostic'!$P$6:$P$65,"Gap")&gt;0,"Gap",IF(COUNTIFS('Initial Diagnostic'!$D$6:$D$65,A134,'Initial Diagnostic'!$P$6:$P$65,"Pass")&gt;0,"Passed","Not scored")))</x:f>
        <x:v>Not assessed</x:v>
      </x:c>
      <x:c r="I134" s="360" t="str"/>
      <x:c r="J134" s="360" t="str">
        <x:v>Not Started</x:v>
      </x:c>
      <x:c r="K134" s="360" t="str"/>
      <x:c r="L134" s="360" t="str"/>
      <x:c r="M134" s="360" t="str"/>
      <x:c r="N134" s="360" t="str"/>
      <x:c r="O134" s="355" t="str">
        <x:f>IF(OR(J134="Passed",J134="Mastered"),"Yes",IF(G134="Soft","Not required yet","No"))</x:f>
        <x:v>No</x:v>
      </x:c>
      <x:c r="P134" s="371" t="str"/>
      <x:c r="Q134" s="344" t="str"/>
      <x:c r="R134" s="338" t="str">
        <x:f>IF(AND(G134="Hard",O134&lt;&gt;"Yes"),"Potentially blocks dependent topics","")</x:f>
      </x:c>
      <x:c r="S134" s="339" t="str">
        <x:f>IF(J134="Mastered","Spaced review",IF(J134="Passed","Proceed to next eligible topic",IF(J134="Remediation","Complete targeted remediation",IF(H134="Gap","Start assigned learning method",IF(H134="Passed","Confirm with topic-level assessment","Not yet assessed")))))</x:f>
        <x:v>Not yet assessed</x:v>
      </x:c>
    </x:row>
    <x:row r="135" ht="38" customHeight="1">
      <x:c r="A135" s="354" t="n">
        <x:v>130</x:v>
      </x:c>
      <x:c r="B135" s="338" t="str">
        <x:v>Business, technical, security, cost, and governance trade-off analysis</x:v>
      </x:c>
      <x:c r="C135" s="355" t="n">
        <x:v>10</x:v>
      </x:c>
      <x:c r="D135" s="338" t="str">
        <x:v>Final integration</x:v>
      </x:c>
      <x:c r="E135" s="338" t="str">
        <x:v>40, 55, 95, 98, 103, 129</x:v>
      </x:c>
      <x:c r="F135" s="338" t="str">
        <x:v>Level 5 — Design/Defend</x:v>
      </x:c>
      <x:c r="G135" s="338" t="str">
        <x:v>Capstone</x:v>
      </x:c>
      <x:c r="H135" s="355" t="str">
        <x:f>IF(COUNTIF('Initial Diagnostic'!$D$6:$D$65,A135)=0,"Not assessed",IF(COUNTIFS('Initial Diagnostic'!$D$6:$D$65,A135,'Initial Diagnostic'!$P$6:$P$65,"Gap")&gt;0,"Gap",IF(COUNTIFS('Initial Diagnostic'!$D$6:$D$65,A135,'Initial Diagnostic'!$P$6:$P$65,"Pass")&gt;0,"Passed","Not scored")))</x:f>
        <x:v>Not assessed</x:v>
      </x:c>
      <x:c r="I135" s="360" t="str"/>
      <x:c r="J135" s="360" t="str">
        <x:v>Not Started</x:v>
      </x:c>
      <x:c r="K135" s="360" t="str"/>
      <x:c r="L135" s="360" t="str"/>
      <x:c r="M135" s="360" t="str"/>
      <x:c r="N135" s="360" t="str"/>
      <x:c r="O135" s="355" t="str">
        <x:f>IF(OR(J135="Passed",J135="Mastered"),"Yes",IF(G135="Soft","Not required yet","No"))</x:f>
        <x:v>No</x:v>
      </x:c>
      <x:c r="P135" s="371" t="str"/>
      <x:c r="Q135" s="344" t="str"/>
      <x:c r="R135" s="338" t="str">
        <x:f>IF(AND(G135="Hard",O135&lt;&gt;"Yes"),"Potentially blocks dependent topics","")</x:f>
      </x:c>
      <x:c r="S135" s="339" t="str">
        <x:f>IF(J135="Mastered","Spaced review",IF(J135="Passed","Proceed to next eligible topic",IF(J135="Remediation","Complete targeted remediation",IF(H135="Gap","Start assigned learning method",IF(H135="Passed","Confirm with topic-level assessment","Not yet assessed")))))</x:f>
        <x:v>Not yet assessed</x:v>
      </x:c>
    </x:row>
    <x:row r="136" ht="38" customHeight="1">
      <x:c r="A136" s="354" t="n">
        <x:v>131</x:v>
      </x:c>
      <x:c r="B136" s="338" t="str">
        <x:v>Architecture decision records and alternative evaluation</x:v>
      </x:c>
      <x:c r="C136" s="355" t="n">
        <x:v>10</x:v>
      </x:c>
      <x:c r="D136" s="338" t="str">
        <x:v>Final integration</x:v>
      </x:c>
      <x:c r="E136" s="338" t="str">
        <x:v>6, 129, 130</x:v>
      </x:c>
      <x:c r="F136" s="338" t="str">
        <x:v>Level 5 — Design/Defend</x:v>
      </x:c>
      <x:c r="G136" s="338" t="str">
        <x:v>Capstone</x:v>
      </x:c>
      <x:c r="H136" s="355" t="str">
        <x:f>IF(COUNTIF('Initial Diagnostic'!$D$6:$D$65,A136)=0,"Not assessed",IF(COUNTIFS('Initial Diagnostic'!$D$6:$D$65,A136,'Initial Diagnostic'!$P$6:$P$65,"Gap")&gt;0,"Gap",IF(COUNTIFS('Initial Diagnostic'!$D$6:$D$65,A136,'Initial Diagnostic'!$P$6:$P$65,"Pass")&gt;0,"Passed","Not scored")))</x:f>
        <x:v>Not assessed</x:v>
      </x:c>
      <x:c r="I136" s="360" t="str"/>
      <x:c r="J136" s="360" t="str">
        <x:v>Not Started</x:v>
      </x:c>
      <x:c r="K136" s="360" t="str"/>
      <x:c r="L136" s="360" t="str"/>
      <x:c r="M136" s="360" t="str"/>
      <x:c r="N136" s="360" t="str"/>
      <x:c r="O136" s="355" t="str">
        <x:f>IF(OR(J136="Passed",J136="Mastered"),"Yes",IF(G136="Soft","Not required yet","No"))</x:f>
        <x:v>No</x:v>
      </x:c>
      <x:c r="P136" s="371" t="str"/>
      <x:c r="Q136" s="344" t="str"/>
      <x:c r="R136" s="338" t="str">
        <x:f>IF(AND(G136="Hard",O136&lt;&gt;"Yes"),"Potentially blocks dependent topics","")</x:f>
      </x:c>
      <x:c r="S136" s="339" t="str">
        <x:f>IF(J136="Mastered","Spaced review",IF(J136="Passed","Proceed to next eligible topic",IF(J136="Remediation","Complete targeted remediation",IF(H136="Gap","Start assigned learning method",IF(H136="Passed","Confirm with topic-level assessment","Not yet assessed")))))</x:f>
        <x:v>Not yet assessed</x:v>
      </x:c>
    </x:row>
    <x:row r="137" ht="38" customHeight="1">
      <x:c r="A137" s="354" t="n">
        <x:v>132</x:v>
      </x:c>
      <x:c r="B137" s="338" t="str">
        <x:v>Production-readiness review</x:v>
      </x:c>
      <x:c r="C137" s="355" t="n">
        <x:v>10</x:v>
      </x:c>
      <x:c r="D137" s="338" t="str">
        <x:v>Final integration</x:v>
      </x:c>
      <x:c r="E137" s="338" t="str">
        <x:v>59, 80, 95, 106, 112, 120, 128, 129</x:v>
      </x:c>
      <x:c r="F137" s="338" t="str">
        <x:v>Level 5 — Design/Defend</x:v>
      </x:c>
      <x:c r="G137" s="338" t="str">
        <x:v>Capstone</x:v>
      </x:c>
      <x:c r="H137" s="355" t="str">
        <x:f>IF(COUNTIF('Initial Diagnostic'!$D$6:$D$65,A137)=0,"Not assessed",IF(COUNTIFS('Initial Diagnostic'!$D$6:$D$65,A137,'Initial Diagnostic'!$P$6:$P$65,"Gap")&gt;0,"Gap",IF(COUNTIFS('Initial Diagnostic'!$D$6:$D$65,A137,'Initial Diagnostic'!$P$6:$P$65,"Pass")&gt;0,"Passed","Not scored")))</x:f>
        <x:v>Not assessed</x:v>
      </x:c>
      <x:c r="I137" s="360" t="str"/>
      <x:c r="J137" s="360" t="str">
        <x:v>Not Started</x:v>
      </x:c>
      <x:c r="K137" s="360" t="str"/>
      <x:c r="L137" s="360" t="str"/>
      <x:c r="M137" s="360" t="str"/>
      <x:c r="N137" s="360" t="str"/>
      <x:c r="O137" s="355" t="str">
        <x:f>IF(OR(J137="Passed",J137="Mastered"),"Yes",IF(G137="Soft","Not required yet","No"))</x:f>
        <x:v>No</x:v>
      </x:c>
      <x:c r="P137" s="371" t="str"/>
      <x:c r="Q137" s="344" t="str"/>
      <x:c r="R137" s="338" t="str">
        <x:f>IF(AND(G137="Hard",O137&lt;&gt;"Yes"),"Potentially blocks dependent topics","")</x:f>
      </x:c>
      <x:c r="S137" s="339" t="str">
        <x:f>IF(J137="Mastered","Spaced review",IF(J137="Passed","Proceed to next eligible topic",IF(J137="Remediation","Complete targeted remediation",IF(H137="Gap","Start assigned learning method",IF(H137="Passed","Confirm with topic-level assessment","Not yet assessed")))))</x:f>
        <x:v>Not yet assessed</x:v>
      </x:c>
    </x:row>
    <x:row r="138" ht="38" customHeight="1">
      <x:c r="A138" s="356" t="n">
        <x:v>133</x:v>
      </x:c>
      <x:c r="B138" s="341" t="str">
        <x:v>Mixed-domain AIP-C01 scenario practice</x:v>
      </x:c>
      <x:c r="C138" s="357" t="n">
        <x:v>10</x:v>
      </x:c>
      <x:c r="D138" s="341" t="str">
        <x:v>Final integration</x:v>
      </x:c>
      <x:c r="E138" s="341" t="str">
        <x:v>130, 131, 132</x:v>
      </x:c>
      <x:c r="F138" s="341" t="str">
        <x:v>Level 4 — Select/Diagnose</x:v>
      </x:c>
      <x:c r="G138" s="341" t="str">
        <x:v>Capstone</x:v>
      </x:c>
      <x:c r="H138" s="357" t="str">
        <x:f>IF(COUNTIF('Initial Diagnostic'!$D$6:$D$65,A138)=0,"Not assessed",IF(COUNTIFS('Initial Diagnostic'!$D$6:$D$65,A138,'Initial Diagnostic'!$P$6:$P$65,"Gap")&gt;0,"Gap",IF(COUNTIFS('Initial Diagnostic'!$D$6:$D$65,A138,'Initial Diagnostic'!$P$6:$P$65,"Pass")&gt;0,"Passed","Not scored")))</x:f>
        <x:v>Not assessed</x:v>
      </x:c>
      <x:c r="I138" s="362" t="str"/>
      <x:c r="J138" s="362" t="str">
        <x:v>Not Started</x:v>
      </x:c>
      <x:c r="K138" s="362" t="str"/>
      <x:c r="L138" s="362" t="str"/>
      <x:c r="M138" s="362" t="str"/>
      <x:c r="N138" s="362" t="str"/>
      <x:c r="O138" s="357" t="str">
        <x:f>IF(OR(J138="Passed",J138="Mastered"),"Yes",IF(G138="Soft","Not required yet","No"))</x:f>
        <x:v>No</x:v>
      </x:c>
      <x:c r="P138" s="372" t="str"/>
      <x:c r="Q138" s="345" t="str"/>
      <x:c r="R138" s="341" t="str">
        <x:f>IF(AND(G138="Hard",O138&lt;&gt;"Yes"),"Potentially blocks dependent topics","")</x:f>
      </x:c>
      <x:c r="S138" s="342" t="str">
        <x:f>IF(J138="Mastered","Spaced review",IF(J138="Passed","Proceed to next eligible topic",IF(J138="Remediation","Complete targeted remediation",IF(H138="Gap","Start assigned learning method",IF(H138="Passed","Confirm with topic-level assessment","Not yet assessed")))))</x:f>
        <x:v>Not yet assessed</x:v>
      </x:c>
    </x:row>
  </x:sheetData>
  <x:mergeCells>
    <x:mergeCell ref="A1:S1"/>
    <x:mergeCell ref="A2:S3"/>
  </x:mergeCells>
  <x:conditionalFormatting sqref="H6:H138">
    <x:cfRule type="expression" dxfId="11" priority="1">
      <x:formula>H6="Gap"</x:formula>
    </x:cfRule>
    <x:cfRule type="expression" dxfId="12" priority="2">
      <x:formula>H6="Passed"</x:formula>
    </x:cfRule>
  </x:conditionalFormatting>
  <x:conditionalFormatting sqref="J6:J138">
    <x:cfRule type="expression" dxfId="13" priority="3">
      <x:formula>J6="Mastered"</x:formula>
    </x:cfRule>
    <x:cfRule type="expression" dxfId="14" priority="4">
      <x:formula>J6="Remediation"</x:formula>
    </x:cfRule>
  </x:conditionalFormatting>
  <x:conditionalFormatting sqref="A6:S138">
    <x:cfRule type="expression" dxfId="15" priority="5">
      <x:formula>$A6='Recommended Start'!$B$6</x:formula>
    </x:cfRule>
  </x:conditionalFormatting>
  <x:dataValidations count="5">
    <x:dataValidation type="list" sqref="I6:I138">
      <x:formula1>"Level 0 — Unfamiliar,Level 1 — Recognize,Level 2 — Explain,Level 3 — Apply/Implement,Level 4 — Select/Diagnose,Level 5 — Design/Defend"</x:formula1>
    </x:dataValidation>
    <x:dataValidation type="list" sqref="J6:J138">
      <x:formula1>"Not Started,In Progress,Ready for Assessment,Passed,Mastered,Remediation"</x:formula1>
    </x:dataValidation>
    <x:dataValidation type="list" sqref="K6:K138">
      <x:formula1>"0,10,20,30,40,50,60,70,80,90,100"</x:formula1>
    </x:dataValidation>
    <x:dataValidation type="list" sqref="L6:L138">
      <x:formula1>"1,2,3,4,5"</x:formula1>
    </x:dataValidation>
    <x:dataValidation type="list" sqref="M6:M138">
      <x:formula1>"Declarative,Conceptual,Procedural,Conditional,Causal/Diagnostic,Strategic,Normative/Institutional,Embedded,Tacit/Pattern Recognition,Metacognitive"</x:formula1>
    </x:dataValidation>
  </x:dataValidations>
  <x:pageMargins left="0.7" right="0.7" top="0.75" bottom="0.75" header="0.3" footer="0.3"/>
  <x:tableParts count="1">
    <x:tablePart xmlns:r="http://schemas.openxmlformats.org/officeDocument/2006/relationships" r:id="Raab4a0e95e634e37"/>
  </x:tableParts>
</x:worksheet>
</file>

<file path=xl/worksheets/sheet10.xml><?xml version="1.0" encoding="utf-8"?>
<x:worksheet xmlns:x="http://schemas.openxmlformats.org/spreadsheetml/2006/main">
  <x:sheetFormatPr defaultRowHeight="15"/>
  <x:cols>
    <x:col min="1" max="1" width="8" hidden="0" customWidth="1"/>
    <x:col min="2" max="2" width="42" hidden="0" customWidth="1"/>
    <x:col min="3" max="3" width="12" hidden="0" customWidth="1"/>
    <x:col min="4" max="4" width="12" hidden="0" customWidth="1"/>
    <x:col min="5" max="5" width="12" hidden="0" customWidth="1"/>
    <x:col min="6" max="6" width="21" hidden="0" customWidth="1"/>
    <x:col min="7" max="7" width="16" hidden="0" customWidth="1"/>
    <x:col min="8" max="8" width="40" hidden="0" customWidth="1"/>
    <x:col min="9" max="9" width="3" hidden="0" customWidth="1"/>
    <x:col min="10" max="10" width="24" hidden="0" customWidth="1"/>
    <x:col min="11" max="11" width="12" hidden="0" customWidth="1"/>
    <x:col min="12" max="12" width="13" hidden="0" customWidth="1"/>
  </x:cols>
  <x:sheetData>
    <x:row r="1" ht="30" customHeight="1">
      <x:c r="A1" s="324" t="str">
        <x:v>AIP-C01 Diagnostic Results Summary</x:v>
      </x:c>
      <x:c r="B1" s="324"/>
      <x:c r="C1" s="324"/>
      <x:c r="D1" s="324"/>
      <x:c r="E1" s="324"/>
      <x:c r="F1" s="324"/>
      <x:c r="G1" s="324"/>
      <x:c r="H1" s="324"/>
      <x:c r="I1" s="324"/>
      <x:c r="J1" s="324"/>
      <x:c r="K1" s="324"/>
      <x:c r="L1" s="324"/>
    </x:row>
    <x:row r="3">
      <x:c r="A3" s="374" t="str">
        <x:v>Learner Name</x:v>
      </x:c>
      <x:c r="B3" s="378" t="str"/>
      <x:c r="D3" s="390" t="str">
        <x:v>Questions Scored</x:v>
      </x:c>
      <x:c r="E3" s="391"/>
      <x:c r="F3" s="390" t="str">
        <x:v>Overall Score %</x:v>
      </x:c>
      <x:c r="G3" s="391"/>
      <x:c r="H3" s="390" t="str">
        <x:v>Layers Passed</x:v>
      </x:c>
      <x:c r="I3" s="391"/>
      <x:c r="J3" s="390" t="str">
        <x:v>High-Confidence Gaps</x:v>
      </x:c>
      <x:c r="K3" s="391"/>
    </x:row>
    <x:row r="4">
      <x:c r="A4" s="375" t="str">
        <x:v>Assessment Date</x:v>
      </x:c>
      <x:c r="B4" s="381" t="str"/>
      <x:c r="D4" s="406" t="n">
        <x:f>COUNT('Initial Diagnostic'!$M$6:$M$65)</x:f>
        <x:v>0</x:v>
      </x:c>
      <x:c r="E4" s="407"/>
      <x:c r="F4" s="412" t="str">
        <x:f>IF(COUNT('Initial Diagnostic'!$M$6:$M$65)=0,"",SUM('Initial Diagnostic'!$M$6:$M$65)/SUMIF('Initial Diagnostic'!$M$6:$M$65,"&lt;&gt;",'Initial Diagnostic'!$N$6:$N$65))</x:f>
      </x:c>
      <x:c r="G4" s="413"/>
      <x:c r="H4" s="406" t="n">
        <x:f>COUNTIF($G$12:$G$21,"Pass")</x:f>
        <x:v>0</x:v>
      </x:c>
      <x:c r="I4" s="407"/>
      <x:c r="J4" s="406" t="n">
        <x:f>COUNTIFS('Initial Diagnostic'!$P$6:$P$65,"Gap",'Initial Diagnostic'!$J$6:$J$65,"&gt;=4")</x:f>
        <x:v>0</x:v>
      </x:c>
      <x:c r="K4" s="407"/>
    </x:row>
    <x:row r="5">
      <x:c r="A5" s="375" t="str">
        <x:v>Assessor</x:v>
      </x:c>
      <x:c r="B5" s="379" t="str"/>
      <x:c r="D5" s="408"/>
      <x:c r="E5" s="409"/>
      <x:c r="F5" s="414"/>
      <x:c r="G5" s="415"/>
      <x:c r="H5" s="408"/>
      <x:c r="I5" s="409"/>
      <x:c r="J5" s="408"/>
      <x:c r="K5" s="409"/>
    </x:row>
    <x:row r="6">
      <x:c r="A6" s="376" t="str">
        <x:v>Target Exam Date</x:v>
      </x:c>
      <x:c r="B6" s="382" t="str"/>
      <x:c r="D6" s="410"/>
      <x:c r="E6" s="411"/>
      <x:c r="F6" s="416"/>
      <x:c r="G6" s="417"/>
      <x:c r="H6" s="410"/>
      <x:c r="I6" s="411"/>
      <x:c r="J6" s="410"/>
      <x:c r="K6" s="411"/>
    </x:row>
    <x:row r="10">
      <x:c r="A10" s="333" t="str">
        <x:v>Phase</x:v>
      </x:c>
      <x:c r="B10" s="333" t="str">
        <x:v>Learning Layer</x:v>
      </x:c>
      <x:c r="C10" s="333" t="str">
        <x:v>Max Points</x:v>
      </x:c>
      <x:c r="D10" s="333" t="str">
        <x:v>Score</x:v>
      </x:c>
      <x:c r="E10" s="333" t="str">
        <x:v>Score %</x:v>
      </x:c>
      <x:c r="F10" s="333" t="str">
        <x:v>Higher-Order Tasks Passed</x:v>
      </x:c>
      <x:c r="G10" s="333" t="str">
        <x:v>Layer Status</x:v>
      </x:c>
      <x:c r="H10" s="333" t="str">
        <x:v>Recommended Action</x:v>
      </x:c>
      <x:c r="J10" s="333" t="str">
        <x:v>Gap Type</x:v>
      </x:c>
      <x:c r="K10" s="333" t="str">
        <x:v>Gap Count</x:v>
      </x:c>
      <x:c r="L10" s="333" t="str">
        <x:v>Priority</x:v>
      </x:c>
    </x:row>
    <x:row r="12" ht="38" customHeight="1">
      <x:c r="A12" s="352" t="n">
        <x:v>0</x:v>
      </x:c>
      <x:c r="B12" s="335" t="str">
        <x:v>Layer 0 — GenAI and AWS foundations</x:v>
      </x:c>
      <x:c r="C12" s="353" t="n">
        <x:f>SUMIF('Initial Diagnostic'!$B$6:$B$65,A12,'Initial Diagnostic'!$N$6:$N$65)</x:f>
        <x:v>10</x:v>
      </x:c>
      <x:c r="D12" s="353" t="n">
        <x:f>SUMIF('Initial Diagnostic'!$B$6:$B$65,A12,'Initial Diagnostic'!$M$6:$M$65)</x:f>
        <x:v>0</x:v>
      </x:c>
      <x:c r="E12" s="421" t="n">
        <x:f>IF(C12=0,"",D12/C12)</x:f>
        <x:v>0</x:v>
      </x:c>
      <x:c r="F12" s="353" t="n">
        <x:f>COUNTIFS('Initial Diagnostic'!$B$6:$B$65,A12,'Initial Diagnostic'!$F$6:$F$65,"&lt;&gt;Multiple Choice",'Initial Diagnostic'!$P$6:$P$65,"Pass")</x:f>
        <x:v>0</x:v>
      </x:c>
      <x:c r="G12" s="353" t="str">
        <x:f>IF(COUNTIFS('Initial Diagnostic'!$B$6:$B$65,A12,'Initial Diagnostic'!$P$6:$P$65,"&lt;&gt;Not scored")=0,"Not started",IF(COUNTIFS('Initial Diagnostic'!$B$6:$B$65,A12,'Initial Diagnostic'!$P$6:$P$65,"&lt;&gt;Not scored")&lt;6,"Incomplete",IF(AND(E12&gt;=70%,F12=2),"Pass","Remediate")))</x:f>
        <x:v>Not started</x:v>
      </x:c>
      <x:c r="H12" s="336" t="str">
        <x:f>IF(G12="Pass","Proceed and retain spaced review",IF(G12="Not started","Complete this layer's questions",IF(G12="Incomplete","Finish scoring all six questions","Open Recommended Start and remediate earliest gap")))</x:f>
        <x:v>Complete this layer's questions</x:v>
      </x:c>
      <x:c r="J12" s="433" t="str">
        <x:v>Declarative</x:v>
      </x:c>
      <x:c r="K12" s="434" t="n">
        <x:f>COUNTIFS('Initial Diagnostic'!$P$6:$P$65,"Gap",'Initial Diagnostic'!$Q$6:$Q$65,"*Declarative*")</x:f>
        <x:v>0</x:v>
      </x:c>
      <x:c r="L12" s="435" t="str">
        <x:f>IF(K12=0,"None",IF(K12&gt;=4,"High","Review"))</x:f>
        <x:v>None</x:v>
      </x:c>
    </x:row>
    <x:row r="13" ht="38" customHeight="1">
      <x:c r="A13" s="354" t="n">
        <x:v>1</x:v>
      </x:c>
      <x:c r="B13" s="338" t="str">
        <x:v>Layer 1 — Data and RAG foundations</x:v>
      </x:c>
      <x:c r="C13" s="355" t="n">
        <x:f>SUMIF('Initial Diagnostic'!$B$6:$B$65,A13,'Initial Diagnostic'!$N$6:$N$65)</x:f>
        <x:v>10</x:v>
      </x:c>
      <x:c r="D13" s="355" t="n">
        <x:f>SUMIF('Initial Diagnostic'!$B$6:$B$65,A13,'Initial Diagnostic'!$M$6:$M$65)</x:f>
        <x:v>0</x:v>
      </x:c>
      <x:c r="E13" s="422" t="n">
        <x:f>IF(C13=0,"",D13/C13)</x:f>
        <x:v>0</x:v>
      </x:c>
      <x:c r="F13" s="355" t="n">
        <x:f>COUNTIFS('Initial Diagnostic'!$B$6:$B$65,A13,'Initial Diagnostic'!$F$6:$F$65,"&lt;&gt;Multiple Choice",'Initial Diagnostic'!$P$6:$P$65,"Pass")</x:f>
        <x:v>0</x:v>
      </x:c>
      <x:c r="G13" s="355" t="str">
        <x:f>IF(COUNTIFS('Initial Diagnostic'!$B$6:$B$65,A13,'Initial Diagnostic'!$P$6:$P$65,"&lt;&gt;Not scored")=0,"Not started",IF(COUNTIFS('Initial Diagnostic'!$B$6:$B$65,A13,'Initial Diagnostic'!$P$6:$P$65,"&lt;&gt;Not scored")&lt;6,"Incomplete",IF(AND(E13&gt;=70%,F13=2),"Pass","Remediate")))</x:f>
        <x:v>Not started</x:v>
      </x:c>
      <x:c r="H13" s="339" t="str">
        <x:f>IF(G13="Pass","Proceed and retain spaced review",IF(G13="Not started","Complete this layer's questions",IF(G13="Incomplete","Finish scoring all six questions","Open Recommended Start and remediate earliest gap")))</x:f>
        <x:v>Complete this layer's questions</x:v>
      </x:c>
      <x:c r="J13" s="436" t="str">
        <x:v>Conceptual</x:v>
      </x:c>
      <x:c r="K13" s="437" t="n">
        <x:f>COUNTIFS('Initial Diagnostic'!$P$6:$P$65,"Gap",'Initial Diagnostic'!$Q$6:$Q$65,"*Conceptual*")</x:f>
        <x:v>0</x:v>
      </x:c>
      <x:c r="L13" s="438" t="str">
        <x:f>IF(K13=0,"None",IF(K13&gt;=4,"High","Review"))</x:f>
        <x:v>None</x:v>
      </x:c>
    </x:row>
    <x:row r="14" ht="38" customHeight="1">
      <x:c r="A14" s="354" t="n">
        <x:v>2</x:v>
      </x:c>
      <x:c r="B14" s="338" t="str">
        <x:v>Layer 2 — Prompt systems and application interaction</x:v>
      </x:c>
      <x:c r="C14" s="355" t="n">
        <x:f>SUMIF('Initial Diagnostic'!$B$6:$B$65,A14,'Initial Diagnostic'!$N$6:$N$65)</x:f>
        <x:v>10</x:v>
      </x:c>
      <x:c r="D14" s="355" t="n">
        <x:f>SUMIF('Initial Diagnostic'!$B$6:$B$65,A14,'Initial Diagnostic'!$M$6:$M$65)</x:f>
        <x:v>0</x:v>
      </x:c>
      <x:c r="E14" s="422" t="n">
        <x:f>IF(C14=0,"",D14/C14)</x:f>
        <x:v>0</x:v>
      </x:c>
      <x:c r="F14" s="355" t="n">
        <x:f>COUNTIFS('Initial Diagnostic'!$B$6:$B$65,A14,'Initial Diagnostic'!$F$6:$F$65,"&lt;&gt;Multiple Choice",'Initial Diagnostic'!$P$6:$P$65,"Pass")</x:f>
        <x:v>0</x:v>
      </x:c>
      <x:c r="G14" s="355" t="str">
        <x:f>IF(COUNTIFS('Initial Diagnostic'!$B$6:$B$65,A14,'Initial Diagnostic'!$P$6:$P$65,"&lt;&gt;Not scored")=0,"Not started",IF(COUNTIFS('Initial Diagnostic'!$B$6:$B$65,A14,'Initial Diagnostic'!$P$6:$P$65,"&lt;&gt;Not scored")&lt;6,"Incomplete",IF(AND(E14&gt;=70%,F14=2),"Pass","Remediate")))</x:f>
        <x:v>Not started</x:v>
      </x:c>
      <x:c r="H14" s="339" t="str">
        <x:f>IF(G14="Pass","Proceed and retain spaced review",IF(G14="Not started","Complete this layer's questions",IF(G14="Incomplete","Finish scoring all six questions","Open Recommended Start and remediate earliest gap")))</x:f>
        <x:v>Complete this layer's questions</x:v>
      </x:c>
      <x:c r="J14" s="436" t="str">
        <x:v>Procedural</x:v>
      </x:c>
      <x:c r="K14" s="437" t="n">
        <x:f>COUNTIFS('Initial Diagnostic'!$P$6:$P$65,"Gap",'Initial Diagnostic'!$Q$6:$Q$65,"*Procedural*")</x:f>
        <x:v>0</x:v>
      </x:c>
      <x:c r="L14" s="438" t="str">
        <x:f>IF(K14=0,"None",IF(K14&gt;=4,"High","Review"))</x:f>
        <x:v>None</x:v>
      </x:c>
    </x:row>
    <x:row r="15" ht="38" customHeight="1">
      <x:c r="A15" s="354" t="n">
        <x:v>3</x:v>
      </x:c>
      <x:c r="B15" s="338" t="str">
        <x:v>Layer 3 — Models, routing, and deployment</x:v>
      </x:c>
      <x:c r="C15" s="355" t="n">
        <x:f>SUMIF('Initial Diagnostic'!$B$6:$B$65,A15,'Initial Diagnostic'!$N$6:$N$65)</x:f>
        <x:v>10</x:v>
      </x:c>
      <x:c r="D15" s="355" t="n">
        <x:f>SUMIF('Initial Diagnostic'!$B$6:$B$65,A15,'Initial Diagnostic'!$M$6:$M$65)</x:f>
        <x:v>0</x:v>
      </x:c>
      <x:c r="E15" s="422" t="n">
        <x:f>IF(C15=0,"",D15/C15)</x:f>
        <x:v>0</x:v>
      </x:c>
      <x:c r="F15" s="355" t="n">
        <x:f>COUNTIFS('Initial Diagnostic'!$B$6:$B$65,A15,'Initial Diagnostic'!$F$6:$F$65,"&lt;&gt;Multiple Choice",'Initial Diagnostic'!$P$6:$P$65,"Pass")</x:f>
        <x:v>0</x:v>
      </x:c>
      <x:c r="G15" s="355" t="str">
        <x:f>IF(COUNTIFS('Initial Diagnostic'!$B$6:$B$65,A15,'Initial Diagnostic'!$P$6:$P$65,"&lt;&gt;Not scored")=0,"Not started",IF(COUNTIFS('Initial Diagnostic'!$B$6:$B$65,A15,'Initial Diagnostic'!$P$6:$P$65,"&lt;&gt;Not scored")&lt;6,"Incomplete",IF(AND(E15&gt;=70%,F15=2),"Pass","Remediate")))</x:f>
        <x:v>Not started</x:v>
      </x:c>
      <x:c r="H15" s="339" t="str">
        <x:f>IF(G15="Pass","Proceed and retain spaced review",IF(G15="Not started","Complete this layer's questions",IF(G15="Incomplete","Finish scoring all six questions","Open Recommended Start and remediate earliest gap")))</x:f>
        <x:v>Complete this layer's questions</x:v>
      </x:c>
      <x:c r="J15" s="436" t="str">
        <x:v>Conditional</x:v>
      </x:c>
      <x:c r="K15" s="437" t="n">
        <x:f>COUNTIFS('Initial Diagnostic'!$P$6:$P$65,"Gap",'Initial Diagnostic'!$Q$6:$Q$65,"*Conditional*")</x:f>
        <x:v>0</x:v>
      </x:c>
      <x:c r="L15" s="438" t="str">
        <x:f>IF(K15=0,"None",IF(K15&gt;=4,"High","Review"))</x:f>
        <x:v>None</x:v>
      </x:c>
    </x:row>
    <x:row r="16" ht="38" customHeight="1">
      <x:c r="A16" s="354" t="n">
        <x:v>4</x:v>
      </x:c>
      <x:c r="B16" s="338" t="str">
        <x:v>Layer 4 — Application and enterprise integration</x:v>
      </x:c>
      <x:c r="C16" s="355" t="n">
        <x:f>SUMIF('Initial Diagnostic'!$B$6:$B$65,A16,'Initial Diagnostic'!$N$6:$N$65)</x:f>
        <x:v>10</x:v>
      </x:c>
      <x:c r="D16" s="355" t="n">
        <x:f>SUMIF('Initial Diagnostic'!$B$6:$B$65,A16,'Initial Diagnostic'!$M$6:$M$65)</x:f>
        <x:v>0</x:v>
      </x:c>
      <x:c r="E16" s="422" t="n">
        <x:f>IF(C16=0,"",D16/C16)</x:f>
        <x:v>0</x:v>
      </x:c>
      <x:c r="F16" s="355" t="n">
        <x:f>COUNTIFS('Initial Diagnostic'!$B$6:$B$65,A16,'Initial Diagnostic'!$F$6:$F$65,"&lt;&gt;Multiple Choice",'Initial Diagnostic'!$P$6:$P$65,"Pass")</x:f>
        <x:v>0</x:v>
      </x:c>
      <x:c r="G16" s="355" t="str">
        <x:f>IF(COUNTIFS('Initial Diagnostic'!$B$6:$B$65,A16,'Initial Diagnostic'!$P$6:$P$65,"&lt;&gt;Not scored")=0,"Not started",IF(COUNTIFS('Initial Diagnostic'!$B$6:$B$65,A16,'Initial Diagnostic'!$P$6:$P$65,"&lt;&gt;Not scored")&lt;6,"Incomplete",IF(AND(E16&gt;=70%,F16=2),"Pass","Remediate")))</x:f>
        <x:v>Not started</x:v>
      </x:c>
      <x:c r="H16" s="339" t="str">
        <x:f>IF(G16="Pass","Proceed and retain spaced review",IF(G16="Not started","Complete this layer's questions",IF(G16="Incomplete","Finish scoring all six questions","Open Recommended Start and remediate earliest gap")))</x:f>
        <x:v>Complete this layer's questions</x:v>
      </x:c>
      <x:c r="J16" s="436" t="str">
        <x:v>Causal/Diagnostic</x:v>
      </x:c>
      <x:c r="K16" s="437" t="n">
        <x:f>COUNTIFS('Initial Diagnostic'!$P$6:$P$65,"Gap",'Initial Diagnostic'!$Q$6:$Q$65,"*Causal/Diagnostic*")</x:f>
        <x:v>0</x:v>
      </x:c>
      <x:c r="L16" s="438" t="str">
        <x:f>IF(K16=0,"None",IF(K16&gt;=4,"High","Review"))</x:f>
        <x:v>None</x:v>
      </x:c>
    </x:row>
    <x:row r="17" ht="38" customHeight="1">
      <x:c r="A17" s="354" t="n">
        <x:v>5</x:v>
      </x:c>
      <x:c r="B17" s="338" t="str">
        <x:v>Layer 5 — Tools and agentic AI</x:v>
      </x:c>
      <x:c r="C17" s="355" t="n">
        <x:f>SUMIF('Initial Diagnostic'!$B$6:$B$65,A17,'Initial Diagnostic'!$N$6:$N$65)</x:f>
        <x:v>10</x:v>
      </x:c>
      <x:c r="D17" s="355" t="n">
        <x:f>SUMIF('Initial Diagnostic'!$B$6:$B$65,A17,'Initial Diagnostic'!$M$6:$M$65)</x:f>
        <x:v>0</x:v>
      </x:c>
      <x:c r="E17" s="422" t="n">
        <x:f>IF(C17=0,"",D17/C17)</x:f>
        <x:v>0</x:v>
      </x:c>
      <x:c r="F17" s="355" t="n">
        <x:f>COUNTIFS('Initial Diagnostic'!$B$6:$B$65,A17,'Initial Diagnostic'!$F$6:$F$65,"&lt;&gt;Multiple Choice",'Initial Diagnostic'!$P$6:$P$65,"Pass")</x:f>
        <x:v>0</x:v>
      </x:c>
      <x:c r="G17" s="355" t="str">
        <x:f>IF(COUNTIFS('Initial Diagnostic'!$B$6:$B$65,A17,'Initial Diagnostic'!$P$6:$P$65,"&lt;&gt;Not scored")=0,"Not started",IF(COUNTIFS('Initial Diagnostic'!$B$6:$B$65,A17,'Initial Diagnostic'!$P$6:$P$65,"&lt;&gt;Not scored")&lt;6,"Incomplete",IF(AND(E17&gt;=70%,F17=2),"Pass","Remediate")))</x:f>
        <x:v>Not started</x:v>
      </x:c>
      <x:c r="H17" s="339" t="str">
        <x:f>IF(G17="Pass","Proceed and retain spaced review",IF(G17="Not started","Complete this layer's questions",IF(G17="Incomplete","Finish scoring all six questions","Open Recommended Start and remediate earliest gap")))</x:f>
        <x:v>Complete this layer's questions</x:v>
      </x:c>
      <x:c r="J17" s="436" t="str">
        <x:v>Strategic</x:v>
      </x:c>
      <x:c r="K17" s="437" t="n">
        <x:f>COUNTIFS('Initial Diagnostic'!$P$6:$P$65,"Gap",'Initial Diagnostic'!$Q$6:$Q$65,"*Strategic*")</x:f>
        <x:v>0</x:v>
      </x:c>
      <x:c r="L17" s="438" t="str">
        <x:f>IF(K17=0,"None",IF(K17&gt;=4,"High","Review"))</x:f>
        <x:v>None</x:v>
      </x:c>
    </x:row>
    <x:row r="18" ht="38" customHeight="1">
      <x:c r="A18" s="354" t="n">
        <x:v>6</x:v>
      </x:c>
      <x:c r="B18" s="338" t="str">
        <x:v>Layer 6 — Safety, security, and privacy</x:v>
      </x:c>
      <x:c r="C18" s="355" t="n">
        <x:f>SUMIF('Initial Diagnostic'!$B$6:$B$65,A18,'Initial Diagnostic'!$N$6:$N$65)</x:f>
        <x:v>10</x:v>
      </x:c>
      <x:c r="D18" s="355" t="n">
        <x:f>SUMIF('Initial Diagnostic'!$B$6:$B$65,A18,'Initial Diagnostic'!$M$6:$M$65)</x:f>
        <x:v>0</x:v>
      </x:c>
      <x:c r="E18" s="422" t="n">
        <x:f>IF(C18=0,"",D18/C18)</x:f>
        <x:v>0</x:v>
      </x:c>
      <x:c r="F18" s="355" t="n">
        <x:f>COUNTIFS('Initial Diagnostic'!$B$6:$B$65,A18,'Initial Diagnostic'!$F$6:$F$65,"&lt;&gt;Multiple Choice",'Initial Diagnostic'!$P$6:$P$65,"Pass")</x:f>
        <x:v>0</x:v>
      </x:c>
      <x:c r="G18" s="355" t="str">
        <x:f>IF(COUNTIFS('Initial Diagnostic'!$B$6:$B$65,A18,'Initial Diagnostic'!$P$6:$P$65,"&lt;&gt;Not scored")=0,"Not started",IF(COUNTIFS('Initial Diagnostic'!$B$6:$B$65,A18,'Initial Diagnostic'!$P$6:$P$65,"&lt;&gt;Not scored")&lt;6,"Incomplete",IF(AND(E18&gt;=70%,F18=2),"Pass","Remediate")))</x:f>
        <x:v>Not started</x:v>
      </x:c>
      <x:c r="H18" s="339" t="str">
        <x:f>IF(G18="Pass","Proceed and retain spaced review",IF(G18="Not started","Complete this layer's questions",IF(G18="Incomplete","Finish scoring all six questions","Open Recommended Start and remediate earliest gap")))</x:f>
        <x:v>Complete this layer's questions</x:v>
      </x:c>
      <x:c r="J18" s="436" t="str">
        <x:v>Normative</x:v>
      </x:c>
      <x:c r="K18" s="437" t="n">
        <x:f>COUNTIFS('Initial Diagnostic'!$P$6:$P$65,"Gap",'Initial Diagnostic'!$Q$6:$Q$65,"*Normative*")</x:f>
        <x:v>0</x:v>
      </x:c>
      <x:c r="L18" s="438" t="str">
        <x:f>IF(K18=0,"None",IF(K18&gt;=4,"High","Review"))</x:f>
        <x:v>None</x:v>
      </x:c>
    </x:row>
    <x:row r="19" ht="38" customHeight="1">
      <x:c r="A19" s="354" t="n">
        <x:v>7</x:v>
      </x:c>
      <x:c r="B19" s="338" t="str">
        <x:v>Layer 7 — Governance and responsible AI</x:v>
      </x:c>
      <x:c r="C19" s="355" t="n">
        <x:f>SUMIF('Initial Diagnostic'!$B$6:$B$65,A19,'Initial Diagnostic'!$N$6:$N$65)</x:f>
        <x:v>10</x:v>
      </x:c>
      <x:c r="D19" s="355" t="n">
        <x:f>SUMIF('Initial Diagnostic'!$B$6:$B$65,A19,'Initial Diagnostic'!$M$6:$M$65)</x:f>
        <x:v>0</x:v>
      </x:c>
      <x:c r="E19" s="422" t="n">
        <x:f>IF(C19=0,"",D19/C19)</x:f>
        <x:v>0</x:v>
      </x:c>
      <x:c r="F19" s="355" t="n">
        <x:f>COUNTIFS('Initial Diagnostic'!$B$6:$B$65,A19,'Initial Diagnostic'!$F$6:$F$65,"&lt;&gt;Multiple Choice",'Initial Diagnostic'!$P$6:$P$65,"Pass")</x:f>
        <x:v>0</x:v>
      </x:c>
      <x:c r="G19" s="355" t="str">
        <x:f>IF(COUNTIFS('Initial Diagnostic'!$B$6:$B$65,A19,'Initial Diagnostic'!$P$6:$P$65,"&lt;&gt;Not scored")=0,"Not started",IF(COUNTIFS('Initial Diagnostic'!$B$6:$B$65,A19,'Initial Diagnostic'!$P$6:$P$65,"&lt;&gt;Not scored")&lt;6,"Incomplete",IF(AND(E19&gt;=70%,F19=2),"Pass","Remediate")))</x:f>
        <x:v>Not started</x:v>
      </x:c>
      <x:c r="H19" s="339" t="str">
        <x:f>IF(G19="Pass","Proceed and retain spaced review",IF(G19="Not started","Complete this layer's questions",IF(G19="Incomplete","Finish scoring all six questions","Open Recommended Start and remediate earliest gap")))</x:f>
        <x:v>Complete this layer's questions</x:v>
      </x:c>
      <x:c r="J19" s="439" t="str">
        <x:v>Embedded</x:v>
      </x:c>
      <x:c r="K19" s="440" t="n">
        <x:f>COUNTIFS('Initial Diagnostic'!$P$6:$P$65,"Gap",'Initial Diagnostic'!$Q$6:$Q$65,"*Embedded*")</x:f>
        <x:v>0</x:v>
      </x:c>
      <x:c r="L19" s="441" t="str">
        <x:f>IF(K19=0,"None",IF(K19&gt;=4,"High","Review"))</x:f>
        <x:v>None</x:v>
      </x:c>
    </x:row>
    <x:row r="20" ht="38" customHeight="1">
      <x:c r="A20" s="354" t="n">
        <x:v>8</x:v>
      </x:c>
      <x:c r="B20" s="338" t="str">
        <x:v>Layer 8 — Cost, performance, and operations</x:v>
      </x:c>
      <x:c r="C20" s="355" t="n">
        <x:f>SUMIF('Initial Diagnostic'!$B$6:$B$65,A20,'Initial Diagnostic'!$N$6:$N$65)</x:f>
        <x:v>10</x:v>
      </x:c>
      <x:c r="D20" s="355" t="n">
        <x:f>SUMIF('Initial Diagnostic'!$B$6:$B$65,A20,'Initial Diagnostic'!$M$6:$M$65)</x:f>
        <x:v>0</x:v>
      </x:c>
      <x:c r="E20" s="422" t="n">
        <x:f>IF(C20=0,"",D20/C20)</x:f>
        <x:v>0</x:v>
      </x:c>
      <x:c r="F20" s="355" t="n">
        <x:f>COUNTIFS('Initial Diagnostic'!$B$6:$B$65,A20,'Initial Diagnostic'!$F$6:$F$65,"&lt;&gt;Multiple Choice",'Initial Diagnostic'!$P$6:$P$65,"Pass")</x:f>
        <x:v>0</x:v>
      </x:c>
      <x:c r="G20" s="355" t="str">
        <x:f>IF(COUNTIFS('Initial Diagnostic'!$B$6:$B$65,A20,'Initial Diagnostic'!$P$6:$P$65,"&lt;&gt;Not scored")=0,"Not started",IF(COUNTIFS('Initial Diagnostic'!$B$6:$B$65,A20,'Initial Diagnostic'!$P$6:$P$65,"&lt;&gt;Not scored")&lt;6,"Incomplete",IF(AND(E20&gt;=70%,F20=2),"Pass","Remediate")))</x:f>
        <x:v>Not started</x:v>
      </x:c>
      <x:c r="H20" s="339" t="str">
        <x:f>IF(G20="Pass","Proceed and retain spaced review",IF(G20="Not started","Complete this layer's questions",IF(G20="Incomplete","Finish scoring all six questions","Open Recommended Start and remediate earliest gap")))</x:f>
        <x:v>Complete this layer's questions</x:v>
      </x:c>
    </x:row>
    <x:row r="21" ht="38" customHeight="1">
      <x:c r="A21" s="356" t="n">
        <x:v>9</x:v>
      </x:c>
      <x:c r="B21" s="341" t="str">
        <x:v>Layer 9 — Monitoring, evaluation, and troubleshooting</x:v>
      </x:c>
      <x:c r="C21" s="357" t="n">
        <x:f>SUMIF('Initial Diagnostic'!$B$6:$B$65,A21,'Initial Diagnostic'!$N$6:$N$65)</x:f>
        <x:v>10</x:v>
      </x:c>
      <x:c r="D21" s="357" t="n">
        <x:f>SUMIF('Initial Diagnostic'!$B$6:$B$65,A21,'Initial Diagnostic'!$M$6:$M$65)</x:f>
        <x:v>0</x:v>
      </x:c>
      <x:c r="E21" s="423" t="n">
        <x:f>IF(C21=0,"",D21/C21)</x:f>
        <x:v>0</x:v>
      </x:c>
      <x:c r="F21" s="357" t="n">
        <x:f>COUNTIFS('Initial Diagnostic'!$B$6:$B$65,A21,'Initial Diagnostic'!$F$6:$F$65,"&lt;&gt;Multiple Choice",'Initial Diagnostic'!$P$6:$P$65,"Pass")</x:f>
        <x:v>0</x:v>
      </x:c>
      <x:c r="G21" s="357" t="str">
        <x:f>IF(COUNTIFS('Initial Diagnostic'!$B$6:$B$65,A21,'Initial Diagnostic'!$P$6:$P$65,"&lt;&gt;Not scored")=0,"Not started",IF(COUNTIFS('Initial Diagnostic'!$B$6:$B$65,A21,'Initial Diagnostic'!$P$6:$P$65,"&lt;&gt;Not scored")&lt;6,"Incomplete",IF(AND(E21&gt;=70%,F21=2),"Pass","Remediate")))</x:f>
        <x:v>Not started</x:v>
      </x:c>
      <x:c r="H21" s="342" t="str">
        <x:f>IF(G21="Pass","Proceed and retain spaced review",IF(G21="Not started","Complete this layer's questions",IF(G21="Incomplete","Finish scoring all six questions","Open Recommended Start and remediate earliest gap")))</x:f>
        <x:v>Complete this layer's questions</x:v>
      </x:c>
    </x:row>
    <x:row r="23">
      <x:c r="J23" s="333" t="str">
        <x:v>Layer</x:v>
      </x:c>
      <x:c r="K23" s="333" t="str">
        <x:v>Score %</x:v>
      </x:c>
    </x:row>
    <x:row r="24">
      <x:c r="J24" t="str">
        <x:v>Layer 0</x:v>
      </x:c>
      <x:c r="K24" s="152" t="n">
        <x:f>E12</x:f>
        <x:v>0</x:v>
      </x:c>
    </x:row>
    <x:row r="25">
      <x:c r="J25" t="str">
        <x:v>Layer 1</x:v>
      </x:c>
      <x:c r="K25" s="152" t="n">
        <x:f>E13</x:f>
        <x:v>0</x:v>
      </x:c>
    </x:row>
    <x:row r="26">
      <x:c r="J26" t="str">
        <x:v>Layer 2</x:v>
      </x:c>
      <x:c r="K26" s="152" t="n">
        <x:f>E14</x:f>
        <x:v>0</x:v>
      </x:c>
    </x:row>
    <x:row r="27">
      <x:c r="J27" t="str">
        <x:v>Layer 3</x:v>
      </x:c>
      <x:c r="K27" s="152" t="n">
        <x:f>E15</x:f>
        <x:v>0</x:v>
      </x:c>
    </x:row>
    <x:row r="28">
      <x:c r="J28" t="str">
        <x:v>Layer 4</x:v>
      </x:c>
      <x:c r="K28" s="152" t="n">
        <x:f>E16</x:f>
        <x:v>0</x:v>
      </x:c>
    </x:row>
    <x:row r="29">
      <x:c r="J29" t="str">
        <x:v>Layer 5</x:v>
      </x:c>
      <x:c r="K29" s="152" t="n">
        <x:f>E17</x:f>
        <x:v>0</x:v>
      </x:c>
    </x:row>
    <x:row r="30">
      <x:c r="J30" t="str">
        <x:v>Layer 6</x:v>
      </x:c>
      <x:c r="K30" s="152" t="n">
        <x:f>E18</x:f>
        <x:v>0</x:v>
      </x:c>
    </x:row>
    <x:row r="31">
      <x:c r="J31" t="str">
        <x:v>Layer 7</x:v>
      </x:c>
      <x:c r="K31" s="152" t="n">
        <x:f>E19</x:f>
        <x:v>0</x:v>
      </x:c>
    </x:row>
    <x:row r="32">
      <x:c r="J32" t="str">
        <x:v>Layer 8</x:v>
      </x:c>
      <x:c r="K32" s="152" t="n">
        <x:f>E20</x:f>
        <x:v>0</x:v>
      </x:c>
    </x:row>
    <x:row r="33">
      <x:c r="J33" t="str">
        <x:v>Layer 9</x:v>
      </x:c>
      <x:c r="K33" s="152" t="n">
        <x:f>E21</x:f>
        <x:v>0</x:v>
      </x:c>
    </x:row>
  </x:sheetData>
  <x:mergeCells>
    <x:mergeCell ref="A1:L1"/>
    <x:mergeCell ref="D3:E3"/>
    <x:mergeCell ref="D4:E6"/>
    <x:mergeCell ref="F3:G3"/>
    <x:mergeCell ref="F4:G6"/>
    <x:mergeCell ref="H3:I3"/>
    <x:mergeCell ref="H4:I6"/>
    <x:mergeCell ref="J3:K3"/>
    <x:mergeCell ref="J4:K6"/>
  </x:mergeCells>
  <x:conditionalFormatting sqref="G12:G21">
    <x:cfRule type="expression" dxfId="16" priority="1">
      <x:formula>G12="Pass"</x:formula>
    </x:cfRule>
    <x:cfRule type="expression" dxfId="17" priority="2">
      <x:formula>G12="Remediate"</x:formula>
    </x:cfRule>
  </x:conditionalFormatting>
  <x:pageMargins left="0.7" right="0.7" top="0.75" bottom="0.75" header="0.3" footer="0.3"/>
  <x:drawing xmlns:r="http://schemas.openxmlformats.org/officeDocument/2006/relationships" r:id="R23f25aa4fcf34903"/>
</x:worksheet>
</file>

<file path=xl/worksheets/sheet11.xml><?xml version="1.0" encoding="utf-8"?>
<x:worksheet xmlns:x="http://schemas.openxmlformats.org/spreadsheetml/2006/main">
  <x:sheetFormatPr defaultRowHeight="15"/>
  <x:cols>
    <x:col min="1" max="1" width="25"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324" t="str">
        <x:v>Recommended Starting Topic</x:v>
      </x:c>
      <x:c r="B1" s="324"/>
      <x:c r="C1" s="324"/>
      <x:c r="D1" s="324"/>
      <x:c r="E1" s="324"/>
      <x:c r="F1" s="324"/>
      <x:c r="G1" s="324"/>
      <x:c r="H1" s="324"/>
    </x:row>
    <x:row r="2" ht="34" customHeight="1">
      <x:c r="A2" s="328" t="str">
        <x:v>This sheet identifies the earliest curriculum topic linked to a diagnostic question below its pass threshold. If every diagnostic layer passes, it recommends beginning the final integration and mixed-scenario stage.</x:v>
      </x:c>
      <x:c r="B2" s="328"/>
      <x:c r="C2" s="328"/>
      <x:c r="D2" s="328"/>
      <x:c r="E2" s="328"/>
      <x:c r="F2" s="328"/>
      <x:c r="G2" s="328"/>
      <x:c r="H2" s="328"/>
    </x:row>
    <x:row r="3" ht="34" customHeight="1">
      <x:c r="A3" s="328"/>
      <x:c r="B3" s="328"/>
      <x:c r="C3" s="328"/>
      <x:c r="D3" s="328"/>
      <x:c r="E3" s="328"/>
      <x:c r="F3" s="328"/>
      <x:c r="G3" s="328"/>
      <x:c r="H3" s="328"/>
    </x:row>
    <x:row r="5" ht="34" customHeight="1">
      <x:c r="A5" s="443" t="str">
        <x:v>Assessment State</x:v>
      </x:c>
      <x:c r="B5" s="334" t="str">
        <x:f>IF(COUNT('Initial Diagnostic'!$M$6:$M$65)=0,"Not started",IF(COUNT('Initial Diagnostic'!$M$6:$M$65)&lt;60,"Diagnostic incomplete","Diagnostic complete"))</x:f>
        <x:v>Not started</x:v>
      </x:c>
      <x:c r="C5" s="335"/>
      <x:c r="D5" s="335"/>
      <x:c r="E5" s="335"/>
      <x:c r="F5" s="335"/>
      <x:c r="G5" s="335"/>
      <x:c r="H5" s="336"/>
    </x:row>
    <x:row r="6" ht="34" customHeight="1">
      <x:c r="A6" s="443" t="str">
        <x:v>Recommended Topic Index</x:v>
      </x:c>
      <x:c r="B6" s="337" t="str">
        <x:f>IF(B5&lt;&gt;"Diagnostic complete","",IF(MIN('Initial Diagnostic'!$S$6:$S$65)&gt;=999,129,MIN('Initial Diagnostic'!$S$6:$S$65)))</x:f>
      </x:c>
      <x:c r="C6" s="338"/>
      <x:c r="D6" s="338"/>
      <x:c r="E6" s="338"/>
      <x:c r="F6" s="338"/>
      <x:c r="G6" s="338"/>
      <x:c r="H6" s="339"/>
    </x:row>
    <x:row r="7" ht="34" customHeight="1">
      <x:c r="A7" s="443" t="str">
        <x:v>Topic Name</x:v>
      </x:c>
      <x:c r="B7" s="337" t="str">
        <x:f>IF(B6="","",VLOOKUP(B6,'Curriculum Matrix'!$A$6:$P$138,2,FALSE))</x:f>
      </x:c>
      <x:c r="C7" s="338"/>
      <x:c r="D7" s="338"/>
      <x:c r="E7" s="338"/>
      <x:c r="F7" s="338"/>
      <x:c r="G7" s="338"/>
      <x:c r="H7" s="339"/>
    </x:row>
    <x:row r="8" ht="34" customHeight="1">
      <x:c r="A8" s="443" t="str">
        <x:v>Phase</x:v>
      </x:c>
      <x:c r="B8" s="337" t="str">
        <x:f>IF(B6="","",VLOOKUP(B6,'Curriculum Matrix'!$A$6:$P$138,3,FALSE))</x:f>
      </x:c>
      <x:c r="C8" s="338"/>
      <x:c r="D8" s="338"/>
      <x:c r="E8" s="338"/>
      <x:c r="F8" s="338"/>
      <x:c r="G8" s="338"/>
      <x:c r="H8" s="339"/>
    </x:row>
    <x:row r="9" ht="34" customHeight="1">
      <x:c r="A9" s="443" t="str">
        <x:v>Learning Layer</x:v>
      </x:c>
      <x:c r="B9" s="337" t="str">
        <x:f>IF(B6="","",VLOOKUP(B6,'Curriculum Matrix'!$A$6:$P$138,4,FALSE))</x:f>
      </x:c>
      <x:c r="C9" s="338"/>
      <x:c r="D9" s="338"/>
      <x:c r="E9" s="338"/>
      <x:c r="F9" s="338"/>
      <x:c r="G9" s="338"/>
      <x:c r="H9" s="339"/>
    </x:row>
    <x:row r="10" ht="34" customHeight="1">
      <x:c r="A10" s="443" t="str">
        <x:v>First Failed Question</x:v>
      </x:c>
      <x:c r="B10" s="337" t="str">
        <x:f>IF(B6="","",IF(B6=129,"Capstone progression",INDEX('Initial Diagnostic'!$A$6:$A$65,MATCH(B6,'Initial Diagnostic'!$S$6:$S$65,0))))</x:f>
      </x:c>
      <x:c r="C10" s="338"/>
      <x:c r="D10" s="338"/>
      <x:c r="E10" s="338"/>
      <x:c r="F10" s="338"/>
      <x:c r="G10" s="338"/>
      <x:c r="H10" s="339"/>
    </x:row>
    <x:row r="11" ht="34" customHeight="1">
      <x:c r="A11" s="443" t="str">
        <x:v>Hard Prerequisites</x:v>
      </x:c>
      <x:c r="B11" s="337" t="str">
        <x:f>IF(B6="","",VLOOKUP(B6,'Curriculum Matrix'!$A$6:$P$138,8,FALSE))</x:f>
      </x:c>
      <x:c r="C11" s="338"/>
      <x:c r="D11" s="338"/>
      <x:c r="E11" s="338"/>
      <x:c r="F11" s="338"/>
      <x:c r="G11" s="338"/>
      <x:c r="H11" s="339"/>
    </x:row>
    <x:row r="12" ht="34" customHeight="1">
      <x:c r="A12" s="443" t="str">
        <x:v>Soft Prerequisites</x:v>
      </x:c>
      <x:c r="B12" s="337" t="str">
        <x:f>IF(B6="","",VLOOKUP(B6,'Curriculum Matrix'!$A$6:$P$138,9,FALSE))</x:f>
      </x:c>
      <x:c r="C12" s="338"/>
      <x:c r="D12" s="338"/>
      <x:c r="E12" s="338"/>
      <x:c r="F12" s="338"/>
      <x:c r="G12" s="338"/>
      <x:c r="H12" s="339"/>
    </x:row>
    <x:row r="13" ht="34" customHeight="1">
      <x:c r="A13" s="443" t="str">
        <x:v>Required Proficiency</x:v>
      </x:c>
      <x:c r="B13" s="337" t="str">
        <x:f>IF(B6="","",VLOOKUP(B6,'Curriculum Matrix'!$A$6:$P$138,11,FALSE))</x:f>
      </x:c>
      <x:c r="C13" s="338"/>
      <x:c r="D13" s="338"/>
      <x:c r="E13" s="338"/>
      <x:c r="F13" s="338"/>
      <x:c r="G13" s="338"/>
      <x:c r="H13" s="339"/>
    </x:row>
    <x:row r="14" ht="34" customHeight="1">
      <x:c r="A14" s="443" t="str">
        <x:v>Mastery Gate</x:v>
      </x:c>
      <x:c r="B14" s="337" t="str">
        <x:f>IF(B6="","",VLOOKUP(B6,'Curriculum Matrix'!$A$6:$P$138,12,FALSE))</x:f>
      </x:c>
      <x:c r="C14" s="338"/>
      <x:c r="D14" s="338"/>
      <x:c r="E14" s="338"/>
      <x:c r="F14" s="338"/>
      <x:c r="G14" s="338"/>
      <x:c r="H14" s="339"/>
    </x:row>
    <x:row r="15" ht="34" customHeight="1">
      <x:c r="A15" s="443" t="str">
        <x:v>Assessment Method</x:v>
      </x:c>
      <x:c r="B15" s="337" t="str">
        <x:f>IF(B6="","",VLOOKUP(B6,'Curriculum Matrix'!$A$6:$P$138,13,FALSE))</x:f>
      </x:c>
      <x:c r="C15" s="338"/>
      <x:c r="D15" s="338"/>
      <x:c r="E15" s="338"/>
      <x:c r="F15" s="338"/>
      <x:c r="G15" s="338"/>
      <x:c r="H15" s="339"/>
    </x:row>
    <x:row r="16" ht="34" customHeight="1">
      <x:c r="A16" s="443" t="str">
        <x:v>Knowledge Type</x:v>
      </x:c>
      <x:c r="B16" s="337" t="str">
        <x:f>IF(B6="","",VLOOKUP(B6,'Curriculum Matrix'!$A$6:$P$138,14,FALSE))</x:f>
      </x:c>
      <x:c r="C16" s="338"/>
      <x:c r="D16" s="338"/>
      <x:c r="E16" s="338"/>
      <x:c r="F16" s="338"/>
      <x:c r="G16" s="338"/>
      <x:c r="H16" s="339"/>
    </x:row>
    <x:row r="17" ht="34" customHeight="1">
      <x:c r="A17" s="443" t="str">
        <x:v>Teaching Method</x:v>
      </x:c>
      <x:c r="B17" s="337" t="str">
        <x:f>IF(B6="","",VLOOKUP(B6,'Curriculum Matrix'!$A$6:$P$138,15,FALSE))</x:f>
      </x:c>
      <x:c r="C17" s="338"/>
      <x:c r="D17" s="338"/>
      <x:c r="E17" s="338"/>
      <x:c r="F17" s="338"/>
      <x:c r="G17" s="338"/>
      <x:c r="H17" s="339"/>
    </x:row>
    <x:row r="18" ht="34" customHeight="1">
      <x:c r="A18" s="443" t="str">
        <x:v>Primary Source</x:v>
      </x:c>
      <x:c r="B18" s="340" t="str">
        <x:f>IF(B6="","",VLOOKUP(B6,'Curriculum Matrix'!$A$6:$P$138,16,FALSE))</x:f>
      </x:c>
      <x:c r="C18" s="341"/>
      <x:c r="D18" s="341"/>
      <x:c r="E18" s="341"/>
      <x:c r="F18" s="341"/>
      <x:c r="G18" s="341"/>
      <x:c r="H18" s="342"/>
    </x:row>
    <x:row r="20">
      <x:c r="A20" s="472" t="str">
        <x:f>IF(B5="Not started","Complete and score all 60 diagnostic questions first.",IF(B5="Diagnostic incomplete","Finish and score every diagnostic question before using the starting recommendation.",IF(B6=129,"All diagnostic layers passed. Begin the final integration topics, production-readiness review, and mixed-domain scenarios.","Begin at Topic "&amp;B6&amp;": "&amp;B7&amp;". Satisfy its hard prerequisites, use the listed teaching method, and pass the required assessment before progressing.")))</x:f>
        <x:v>Complete and score all 60 diagnostic questions first.</x:v>
      </x:c>
      <x:c r="B20" s="473"/>
      <x:c r="C20" s="473"/>
      <x:c r="D20" s="473"/>
      <x:c r="E20" s="473"/>
      <x:c r="F20" s="473"/>
      <x:c r="G20" s="473"/>
      <x:c r="H20" s="474"/>
    </x:row>
    <x:row r="21">
      <x:c r="A21" s="475"/>
      <x:c r="B21" s="476"/>
      <x:c r="C21" s="476"/>
      <x:c r="D21" s="476"/>
      <x:c r="E21" s="476"/>
      <x:c r="F21" s="476"/>
      <x:c r="G21" s="476"/>
      <x:c r="H21" s="477"/>
    </x:row>
    <x:row r="22">
      <x:c r="A22" s="478"/>
      <x:c r="B22" s="479"/>
      <x:c r="C22" s="479"/>
      <x:c r="D22" s="479"/>
      <x:c r="E22" s="479"/>
      <x:c r="F22" s="479"/>
      <x:c r="G22" s="479"/>
      <x:c r="H22" s="480"/>
    </x:row>
  </x:sheetData>
  <x:mergeCells>
    <x:mergeCell ref="A1:H1"/>
    <x:mergeCell ref="A2:H3"/>
    <x:mergeCell ref="A20:H22"/>
    <x:mergeCell ref="B5:H5"/>
    <x:mergeCell ref="B6:H6"/>
    <x:mergeCell ref="B7:H7"/>
    <x:mergeCell ref="B8:H8"/>
    <x:mergeCell ref="B9:H9"/>
    <x:mergeCell ref="B10:H10"/>
    <x:mergeCell ref="B11:H11"/>
    <x:mergeCell ref="B12:H12"/>
    <x:mergeCell ref="B13:H13"/>
    <x:mergeCell ref="B14:H14"/>
    <x:mergeCell ref="B15:H15"/>
    <x:mergeCell ref="B16:H16"/>
    <x:mergeCell ref="B17:H17"/>
    <x:mergeCell ref="B18:H18"/>
  </x:mergeCells>
  <x:pageMargins left="0.7" right="0.7" top="0.75" bottom="0.75" header="0.3" footer="0.3"/>
</x:worksheet>
</file>