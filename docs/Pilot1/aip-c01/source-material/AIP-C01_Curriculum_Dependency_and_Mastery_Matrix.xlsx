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ad05b3f23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 Matrix" sheetId="1" r:id="R281ff105d8fc4fa5"/>
    <x:sheet xmlns:r="http://schemas.openxmlformats.org/officeDocument/2006/relationships" name="Skill Coverage" sheetId="2" r:id="R7c5dbfbd5d1d4d7c"/>
    <x:sheet xmlns:r="http://schemas.openxmlformats.org/officeDocument/2006/relationships" name="Summary" sheetId="3" r:id="R3e64dc5403d44f0c"/>
    <x:sheet xmlns:r="http://schemas.openxmlformats.org/officeDocument/2006/relationships" name="Legend" sheetId="4" r:id="Ra732b704dca0468c"/>
    <x:sheet xmlns:r="http://schemas.openxmlformats.org/officeDocument/2006/relationships" name="Sources" sheetId="5" r:id="R02c4e3bd8ac64202"/>
    <x:sheet xmlns:r="http://schemas.openxmlformats.org/officeDocument/2006/relationships" name="Skill-Topic Map" sheetId="6" r:id="Rac4e7455130c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6"/>
      <x:color rgb="FFFFFF"/>
      <x:name val="Carlito"/>
    </x:font>
    <x:font>
      <x:i/>
      <x:sz val="11"/>
      <x:color rgb="17365D"/>
      <x:name val="Carlito"/>
    </x:font>
    <x:font>
      <x:sz val="10"/>
      <x:color rgb="595959"/>
      <x:name val="Carlito"/>
    </x:font>
    <x:font>
      <x:b/>
      <x:sz val="11"/>
      <x:color rgb="FFFFFF"/>
      <x:name val="Carlito"/>
    </x:font>
    <x:font>
      <x:b/>
      <x:sz val="11"/>
      <x:color rgb="17365D"/>
      <x:name val="Carlito"/>
    </x:font>
    <x:font>
      <x:b/>
      <x:sz val="18"/>
      <x:color rgb="17365D"/>
      <x:name val="Carlito"/>
    </x:font>
    <x:font>
      <x:b/>
      <x:sz val="12"/>
      <x:color rgb="7F6000"/>
      <x:name val="Carlito"/>
    </x:font>
    <x:font>
      <x:b/>
      <x:sz val="11"/>
      <x:color rgb="7F6000"/>
      <x:name val="Carlito"/>
    </x:font>
    <x:font>
      <x:b/>
      <x:sz val="9"/>
      <x:color rgb="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EAF3F8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24">
    <x:border/>
    <x:border/>
    <x:border>
      <x:left>
        <x:color rgb="C9D3DC"/>
      </x:left>
      <x:right>
        <x:color rgb="E7E6E6"/>
      </x:right>
      <x:top>
        <x:color rgb="C9D3DC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C9D3DC"/>
      </x:top>
      <x:bottom>
        <x:color rgb="E7E6E6"/>
      </x:bottom>
    </x:border>
    <x:border>
      <x:left>
        <x:color rgb="E7E6E6"/>
      </x:left>
      <x:right>
        <x:color rgb="C9D3DC"/>
      </x:right>
      <x:top>
        <x:color rgb="C9D3DC"/>
      </x:top>
      <x:bottom>
        <x:color rgb="E7E6E6"/>
      </x:bottom>
    </x:border>
    <x:border>
      <x:left>
        <x:color rgb="C9D3DC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C9D3DC"/>
      </x:right>
      <x:top>
        <x:color rgb="E7E6E6"/>
      </x:top>
      <x:bottom>
        <x:color rgb="E7E6E6"/>
      </x:bottom>
    </x:border>
    <x:border>
      <x:left>
        <x:color rgb="C9D3DC"/>
      </x:left>
      <x:right>
        <x:color rgb="E7E6E6"/>
      </x:right>
      <x:top>
        <x:color rgb="E7E6E6"/>
      </x:top>
      <x:bottom>
        <x:color rgb="C9D3DC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C9D3DC"/>
      </x:bottom>
    </x:border>
    <x:border>
      <x:left>
        <x:color rgb="E7E6E6"/>
      </x:left>
      <x:right>
        <x:color rgb="C9D3DC"/>
      </x:right>
      <x:top>
        <x:color rgb="E7E6E6"/>
      </x:top>
      <x:bottom>
        <x:color rgb="C9D3DC"/>
      </x:bottom>
    </x:border>
    <x:border>
      <x:left>
        <x:color rgb="C9D3DC"/>
      </x:left>
      <x:right>
        <x:color rgb="E7E6E6"/>
      </x:right>
      <x:top>
        <x:color rgb="C9D3DC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C9D3DC"/>
      </x:top>
      <x:bottom>
        <x:color rgb="E7E6E6"/>
      </x:bottom>
    </x:border>
    <x:border>
      <x:left>
        <x:color rgb="E7E6E6"/>
      </x:left>
      <x:right>
        <x:color rgb="C9D3DC"/>
      </x:right>
      <x:top>
        <x:color rgb="C9D3DC"/>
      </x:top>
      <x:bottom>
        <x:color rgb="E7E6E6"/>
      </x:bottom>
    </x:border>
    <x:border>
      <x:left>
        <x:color rgb="C9D3DC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C9D3DC"/>
      </x:right>
      <x:top>
        <x:color rgb="E7E6E6"/>
      </x:top>
      <x:bottom>
        <x:color rgb="E7E6E6"/>
      </x:bottom>
    </x:border>
    <x:border>
      <x:left>
        <x:color rgb="C9D3DC"/>
      </x:left>
      <x:right>
        <x:color rgb="E7E6E6"/>
      </x:right>
      <x:top>
        <x:color rgb="E7E6E6"/>
      </x:top>
      <x:bottom>
        <x:color rgb="C9D3DC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C9D3DC"/>
      </x:bottom>
    </x:border>
    <x:border>
      <x:left>
        <x:color rgb="E7E6E6"/>
      </x:left>
      <x:right>
        <x:color rgb="C9D3DC"/>
      </x:right>
      <x:top>
        <x:color rgb="E7E6E6"/>
      </x:top>
      <x:bottom>
        <x:color rgb="C9D3DC"/>
      </x:bottom>
    </x:border>
    <x:border>
      <x:left>
        <x:color rgb="C9D3DC"/>
      </x:left>
      <x:right>
        <x:color rgb="E7E6E6"/>
      </x:right>
      <x:top>
        <x:color rgb="C9D3DC"/>
      </x:top>
      <x:bottom>
        <x:color rgb="C9D3DC"/>
      </x:bottom>
    </x:border>
    <x:border>
      <x:left>
        <x:color rgb="E7E6E6"/>
      </x:left>
      <x:right>
        <x:color rgb="C9D3DC"/>
      </x:right>
      <x:top>
        <x:color rgb="C9D3DC"/>
      </x:top>
      <x:bottom>
        <x:color rgb="C9D3DC"/>
      </x:bottom>
    </x:border>
    <x:border>
      <x:left>
        <x:color rgb="C9D3DC"/>
      </x:left>
      <x:right>
        <x:color rgb="E7E6E6"/>
      </x:right>
      <x:top>
        <x:color rgb="C9D3DC"/>
      </x:top>
      <x:bottom>
        <x:color rgb="C9D3DC"/>
      </x:bottom>
    </x:border>
    <x:border>
      <x:left>
        <x:color rgb="E7E6E6"/>
      </x:left>
      <x:right>
        <x:color rgb="C9D3DC"/>
      </x:right>
      <x:top>
        <x:color rgb="C9D3DC"/>
      </x:top>
      <x:bottom>
        <x:color rgb="C9D3DC"/>
      </x:bottom>
    </x:border>
  </x:borders>
  <x:cellStyleXfs count="1">
    <x:xf numFmtId="0" fontId="0" fillId="0" borderId="0"/>
  </x:cellStyleXfs>
  <x:cellXfs count="3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10" xfId="0" applyNumberFormat="1" applyFont="1" applyFill="1" applyBorder="1"/>
    <x:xf numFmtId="0" fontId="6" fillId="4" borderId="2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  <x:xf numFmtId="0" fontId="6" fillId="4" borderId="8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/>
    <x:xf numFmtId="0" fontId="6" fillId="4" borderId="11" xfId="0" applyNumberFormat="1" applyFont="1" applyFill="1" applyBorder="1"/>
    <x:xf numFmtId="0" fontId="6" fillId="4" borderId="13" xfId="0" applyNumberFormat="1" applyFont="1" applyFill="1" applyBorder="1"/>
    <x:xf numFmtId="0" fontId="6" fillId="4" borderId="14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9" xfId="0" applyNumberFormat="1" applyFont="1" applyFill="1" applyBorder="1"/>
    <x:xf numFmtId="0" fontId="6" fillId="4" borderId="11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6" fillId="4" borderId="14" xfId="0" applyNumberFormat="1" applyFont="1" applyFill="1" applyBorder="1" applyAlignment="1">
      <x:alignment horizontal="center"/>
    </x:xf>
    <x:xf numFmtId="0" fontId="6" fillId="4" borderId="16" xfId="0" applyNumberFormat="1" applyFont="1" applyFill="1" applyBorder="1" applyAlignment="1">
      <x:alignment horizontal="center"/>
    </x:xf>
    <x:xf numFmtId="0" fontId="6" fillId="4" borderId="17" xfId="0" applyNumberFormat="1" applyFont="1" applyFill="1" applyBorder="1" applyAlignment="1">
      <x:alignment horizontal="center"/>
    </x:xf>
    <x:xf numFmtId="0" fontId="6" fillId="4" borderId="19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center" vertical="center"/>
    </x:xf>
    <x:xf numFmtId="0" fontId="6" fillId="4" borderId="14" xfId="0" applyNumberFormat="1" applyFont="1" applyFill="1" applyBorder="1" applyAlignment="1">
      <x:alignment horizontal="center" vertical="center"/>
    </x:xf>
    <x:xf numFmtId="0" fontId="6" fillId="4" borderId="16" xfId="0" applyNumberFormat="1" applyFont="1" applyFill="1" applyBorder="1" applyAlignment="1">
      <x:alignment horizontal="center" vertical="center"/>
    </x:xf>
    <x:xf numFmtId="0" fontId="6" fillId="4" borderId="17" xfId="0" applyNumberFormat="1" applyFont="1" applyFill="1" applyBorder="1" applyAlignment="1">
      <x:alignment horizontal="center" vertical="center"/>
    </x:xf>
    <x:xf numFmtId="0" fontId="6" fillId="4" borderId="19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9" xfId="0" applyNumberFormat="1" applyFont="1" applyFill="1" applyBorder="1"/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horizontal="center" wrapText="1"/>
    </x:xf>
    <x:xf numFmtId="0" fontId="7" fillId="6" borderId="12" xfId="0" applyNumberFormat="1" applyFont="1" applyFill="1" applyBorder="1" applyAlignment="1">
      <x:alignment horizontal="center" wrapText="1"/>
    </x:xf>
    <x:xf numFmtId="0" fontId="7" fillId="6" borderId="13" xfId="0" applyNumberFormat="1" applyFont="1" applyFill="1" applyBorder="1" applyAlignment="1">
      <x:alignment horizontal="center" wrapText="1"/>
    </x:xf>
    <x:xf numFmtId="0" fontId="7" fillId="6" borderId="14" xfId="0" applyNumberFormat="1" applyFont="1" applyFill="1" applyBorder="1" applyAlignment="1">
      <x:alignment horizontal="center" wrapText="1"/>
    </x:xf>
    <x:xf numFmtId="0" fontId="7" fillId="6" borderId="15" xfId="0" applyNumberFormat="1" applyFont="1" applyFill="1" applyBorder="1" applyAlignment="1">
      <x:alignment horizontal="center" wrapText="1"/>
    </x:xf>
    <x:xf numFmtId="0" fontId="7" fillId="6" borderId="16" xfId="0" applyNumberFormat="1" applyFont="1" applyFill="1" applyBorder="1" applyAlignment="1">
      <x:alignment horizontal="center" wrapText="1"/>
    </x:xf>
    <x:xf numFmtId="0" fontId="7" fillId="6" borderId="17" xfId="0" applyNumberFormat="1" applyFont="1" applyFill="1" applyBorder="1" applyAlignment="1">
      <x:alignment horizontal="center" wrapText="1"/>
    </x:xf>
    <x:xf numFmtId="0" fontId="7" fillId="6" borderId="18" xfId="0" applyNumberFormat="1" applyFont="1" applyFill="1" applyBorder="1" applyAlignment="1">
      <x:alignment horizontal="center" wrapText="1"/>
    </x:xf>
    <x:xf numFmtId="0" fontId="7" fillId="6" borderId="19" xfId="0" applyNumberFormat="1" applyFont="1" applyFill="1" applyBorder="1" applyAlignment="1">
      <x:alignment horizont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0" fontId="7" fillId="6" borderId="12" xfId="0" applyNumberFormat="1" applyFont="1" applyFill="1" applyBorder="1" applyAlignment="1">
      <x:alignment horizontal="center" vertical="center" wrapText="1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7" fillId="6" borderId="14" xfId="0" applyNumberFormat="1" applyFont="1" applyFill="1" applyBorder="1" applyAlignment="1">
      <x:alignment horizontal="center" vertical="center" wrapText="1"/>
    </x:xf>
    <x:xf numFmtId="0" fontId="7" fillId="6" borderId="15" xfId="0" applyNumberFormat="1" applyFont="1" applyFill="1" applyBorder="1" applyAlignment="1">
      <x:alignment horizontal="center" vertical="center" wrapText="1"/>
    </x:xf>
    <x:xf numFmtId="0" fontId="7" fillId="6" borderId="16" xfId="0" applyNumberFormat="1" applyFont="1" applyFill="1" applyBorder="1" applyAlignment="1">
      <x:alignment horizontal="center" vertical="center" wrapText="1"/>
    </x:xf>
    <x:xf numFmtId="0" fontId="7" fillId="6" borderId="17" xfId="0" applyNumberFormat="1" applyFont="1" applyFill="1" applyBorder="1" applyAlignment="1">
      <x:alignment horizontal="center" vertical="center" wrapText="1"/>
    </x:xf>
    <x:xf numFmtId="0" fontId="7" fillId="6" borderId="18" xfId="0" applyNumberFormat="1" applyFont="1" applyFill="1" applyBorder="1" applyAlignment="1">
      <x:alignment horizontal="center" vertical="center" wrapText="1"/>
    </x:xf>
    <x:xf numFmtId="0" fontId="7" fillId="6" borderId="19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9" xfId="0" applyNumberFormat="1" applyFont="1" applyFill="1" applyBorder="1"/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8" xfId="0" applyNumberFormat="1" applyFont="1" applyFill="1" applyBorder="1" applyAlignment="1">
      <x:alignment wrapText="1"/>
    </x:xf>
    <x:xf numFmtId="0" fontId="8" fillId="6" borderId="19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vertical="center" wrapText="1"/>
    </x:xf>
    <x:xf numFmtId="0" fontId="8" fillId="6" borderId="19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/>
    </x:xf>
    <x:xf numFmtId="0" fontId="9" fillId="3" borderId="21" xfId="0" applyNumberFormat="1" applyFont="1" applyFill="1" applyBorder="1" applyAlignment="1">
      <x:alignment vertical="center"/>
    </x:xf>
    <x:xf numFmtId="0" fontId="9" fillId="3" borderId="20" xfId="0" applyNumberFormat="1" applyFont="1" applyFill="1" applyBorder="1" applyAlignment="1">
      <x:alignment vertical="center" wrapText="1"/>
    </x:xf>
    <x:xf numFmtId="0" fontId="9" fillId="3" borderId="21" xfId="0" applyNumberFormat="1" applyFont="1" applyFill="1" applyBorder="1" applyAlignment="1">
      <x:alignment vertical="center" wrapText="1"/>
    </x:xf>
    <x:xf numFmtId="0" fontId="9" fillId="3" borderId="20" xfId="0" applyNumberFormat="1" applyFont="1" applyFill="1" applyBorder="1" applyAlignment="1">
      <x:alignment horizontal="center" vertical="center" wrapText="1"/>
    </x:xf>
    <x:xf numFmtId="0" fontId="9" fillId="3" borderId="2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vertical="center"/>
    </x:xf>
    <x:xf numFmtId="0" fontId="9" fillId="3" borderId="22" xfId="0" applyNumberFormat="1" applyFont="1" applyFill="1" applyBorder="1" applyAlignment="1">
      <x:alignment vertical="center"/>
    </x:xf>
    <x:xf numFmtId="0" fontId="9" fillId="3" borderId="23" xfId="0" applyNumberFormat="1" applyFont="1" applyFill="1" applyBorder="1" applyAlignment="1">
      <x:alignment vertical="center"/>
    </x:xf>
    <x:xf numFmtId="0" fontId="9" fillId="3" borderId="22" xfId="0" applyNumberFormat="1" applyFont="1" applyFill="1" applyBorder="1" applyAlignment="1">
      <x:alignment vertical="center" wrapText="1"/>
    </x:xf>
    <x:xf numFmtId="0" fontId="9" fillId="3" borderId="23" xfId="0" applyNumberFormat="1" applyFont="1" applyFill="1" applyBorder="1" applyAlignment="1">
      <x:alignment vertical="center" wrapText="1"/>
    </x:xf>
    <x:xf numFmtId="0" fontId="9" fillId="3" borderId="22" xfId="0" applyNumberFormat="1" applyFont="1" applyFill="1" applyBorder="1" applyAlignment="1">
      <x:alignment horizontal="center" vertical="center" wrapText="1"/>
    </x:xf>
    <x:xf numFmtId="0" fontId="9" fillId="3" borderId="2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9C0006"/>
      </x:font>
      <x:fill>
        <x:patternFill patternType="solid">
          <x:bgColor rgb="FCE4D6"/>
        </x:patternFill>
      </x:fill>
    </x:dxf>
    <x:dxf>
      <x:font>
        <x:b/>
        <x:color rgb="9C6500"/>
      </x:font>
      <x:fill>
        <x:patternFill patternType="solid">
          <x:bgColor rgb="FFF2CC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EAF3F8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E4DFEC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ont>
        <x:b/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8400365c445ac" /><Relationship Type="http://schemas.openxmlformats.org/officeDocument/2006/relationships/theme" Target="/xl/theme/theme1.xml" Id="R68e374b53374435f" /><Relationship Type="http://schemas.openxmlformats.org/officeDocument/2006/relationships/sharedStrings" Target="/xl/sharedStrings.xml" Id="R8bdc214966384afe" /><Relationship Type="http://schemas.openxmlformats.org/officeDocument/2006/relationships/worksheet" Target="/xl/worksheets/sheet1.xml" Id="R281ff105d8fc4fa5" /><Relationship Type="http://schemas.openxmlformats.org/officeDocument/2006/relationships/worksheet" Target="/xl/worksheets/sheet2.xml" Id="R7c5dbfbd5d1d4d7c" /><Relationship Type="http://schemas.openxmlformats.org/officeDocument/2006/relationships/worksheet" Target="/xl/worksheets/sheet3.xml" Id="R3e64dc5403d44f0c" /><Relationship Type="http://schemas.openxmlformats.org/officeDocument/2006/relationships/worksheet" Target="/xl/worksheets/sheet4.xml" Id="Ra732b704dca0468c" /><Relationship Type="http://schemas.openxmlformats.org/officeDocument/2006/relationships/worksheet" Target="/xl/worksheets/sheet5.xml" Id="R02c4e3bd8ac64202" /><Relationship Type="http://schemas.openxmlformats.org/officeDocument/2006/relationships/worksheet" Target="/xl/worksheets/sheet6.xml" Id="Rac4e7455130c4a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483b7a5ace42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Topics by Learning Layer</a:t>
            </a:r>
          </a:p>
        </c:rich>
      </c:tx>
      <c:overlay val="0"/>
    </c:title>
    <c:autoTitleDeleted val="0"/>
    <c:plotArea>
      <c:layout/>
      <c:barChart>
        <c:barDir val="bar"/>
        <c:varyColors val="0"/>
        <c:ser>
          <c:idx val="0"/>
          <c:order val="0"/>
          <c:tx>
            <c:v>Topic Count</c:v>
          </c:tx>
          <c:cat>
            <c:strRef>
              <c:f>'Summary'!$B$11:$B$21</c:f>
              <c:strCache>
                <c:ptCount val="0"/>
              </c:strCache>
            </c:strRef>
          </c:cat>
          <c:val>
            <c:numRef>
              <c:f>'Summary'!$C$11:$C$21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483b7a5ace42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iculumMatrixTable" displayName="CurriculumMatrixTable" ref="A5:P138" headerRowCount="1">
  <x:tableColumns count="16">
    <x:tableColumn id="1" name="Index"/>
    <x:tableColumn id="2" name="Topic Name"/>
    <x:tableColumn id="3" name="Phase"/>
    <x:tableColumn id="4" name="Learning Layer"/>
    <x:tableColumn id="5" name="Syllabus Relationship"/>
    <x:tableColumn id="6" name="AIP-C01 Skill IDs"/>
    <x:tableColumn id="7" name="Official Task(s)"/>
    <x:tableColumn id="8" name="Hard Prerequisite Topic IDs"/>
    <x:tableColumn id="9" name="Soft Prerequisite Topic IDs"/>
    <x:tableColumn id="10" name="Dependency Type"/>
    <x:tableColumn id="11" name="Minimum Proficiency"/>
    <x:tableColumn id="12" name="Mastery Gate"/>
    <x:tableColumn id="13" name="Assessment Method"/>
    <x:tableColumn id="14" name="Knowledge Type"/>
    <x:tableColumn id="15" name="Teaching Method"/>
    <x:tableColumn id="16" name="Primary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OfficialSkillCoverageTable" displayName="OfficialSkillCoverageTable" ref="A4:G102" headerRowCount="1">
  <x:tableColumns count="7">
    <x:tableColumn id="1" name="Skill ID"/>
    <x:tableColumn id="2" name="Task ID"/>
    <x:tableColumn id="3" name="Task Name"/>
    <x:tableColumn id="4" name="Skill Summary"/>
    <x:tableColumn id="5" name="Topic Count"/>
    <x:tableColumn id="6" name="Coverage Status"/>
    <x:tableColumn id="7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ResearchSourcesTable" displayName="ResearchSourcesTable" ref="A4:D15" headerRowCount="1">
  <x:tableColumns count="4">
    <x:tableColumn id="1" name="Source"/>
    <x:tableColumn id="2" name="Purpose"/>
    <x:tableColumn id="3" name="URL / Location"/>
    <x:tableColumn id="4" name="Verified Date"/>
  </x:tableColumns>
  <x:tableStyleInfo name="TableStyleMedium2" showRowStripes="1"/>
</x:table>
</file>

<file path=xl/tables/table4.xml><?xml version="1.0" encoding="utf-8"?>
<x:table xmlns:x="http://schemas.openxmlformats.org/spreadsheetml/2006/main" id="4" name="SkillTopicMapTable" displayName="SkillTopicMapTable" ref="A4:C230" headerRowCount="1">
  <x:tableColumns count="3">
    <x:tableColumn id="1" name="Skill ID"/>
    <x:tableColumn id="2" name="Topic Index"/>
    <x:tableColumn id="3" name="Topic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55d965cf1748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78277bdb3a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35caf144247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414b63efca6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d9f11aaf8eb47c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8" hidden="0" customWidth="1"/>
    <x:col min="4" max="4" width="38" hidden="0" customWidth="1"/>
    <x:col min="5" max="5" width="24" hidden="0" customWidth="1"/>
    <x:col min="6" max="6" width="25" hidden="0" customWidth="1"/>
    <x:col min="7" max="7" width="44" hidden="0" customWidth="1"/>
    <x:col min="8" max="8" width="23" hidden="0" customWidth="1"/>
    <x:col min="9" max="9" width="23" hidden="0" customWidth="1"/>
    <x:col min="10" max="10" width="15" hidden="0" customWidth="1"/>
    <x:col min="11" max="11" width="23" hidden="0" customWidth="1"/>
    <x:col min="12" max="12" width="14" hidden="0" customWidth="1"/>
    <x:col min="13" max="13" width="48" hidden="0" customWidth="1"/>
    <x:col min="14" max="14" width="33" hidden="0" customWidth="1"/>
    <x:col min="15" max="15" width="48" hidden="0" customWidth="1"/>
    <x:col min="16" max="16" width="45" hidden="0" customWidth="1"/>
  </x:cols>
  <x:sheetData>
    <x:row r="1" ht="28" customHeight="1">
      <x:c r="A1" s="5" t="str">
        <x:v>AIP-C01 Curriculum Dependency and Mastery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2" t="str">
        <x:v>Learning order is dependency-based. Knowledge type is used only after sequencing to choose teaching and assessment methods.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 ht="34" customHeight="1">
      <x:c r="A3" s="19" t="str">
        <x:v>Verified against the current official AWS AIP-C01 exam guide on 2026-06-15. Hard prerequisites must be satisfied before the topic; soft prerequisites improve readiness but may be remediated later.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5" ht="42" customHeight="1">
      <x:c r="A5" s="28" t="str">
        <x:v>Index</x:v>
      </x:c>
      <x:c r="B5" s="28" t="str">
        <x:v>Topic Name</x:v>
      </x:c>
      <x:c r="C5" s="28" t="str">
        <x:v>Phase</x:v>
      </x:c>
      <x:c r="D5" s="28" t="str">
        <x:v>Learning Layer</x:v>
      </x:c>
      <x:c r="E5" s="28" t="str">
        <x:v>Syllabus Relationship</x:v>
      </x:c>
      <x:c r="F5" s="28" t="str">
        <x:v>AIP-C01 Skill IDs</x:v>
      </x:c>
      <x:c r="G5" s="28" t="str">
        <x:v>Official Task(s)</x:v>
      </x:c>
      <x:c r="H5" s="28" t="str">
        <x:v>Hard Prerequisite Topic IDs</x:v>
      </x:c>
      <x:c r="I5" s="28" t="str">
        <x:v>Soft Prerequisite Topic IDs</x:v>
      </x:c>
      <x:c r="J5" s="28" t="str">
        <x:v>Dependency Type</x:v>
      </x:c>
      <x:c r="K5" s="28" t="str">
        <x:v>Minimum Proficiency</x:v>
      </x:c>
      <x:c r="L5" s="28" t="str">
        <x:v>Mastery Gate</x:v>
      </x:c>
      <x:c r="M5" s="28" t="str">
        <x:v>Assessment Method</x:v>
      </x:c>
      <x:c r="N5" s="28" t="str">
        <x:v>Knowledge Type</x:v>
      </x:c>
      <x:c r="O5" s="28" t="str">
        <x:v>Teaching Method</x:v>
      </x:c>
      <x:c r="P5" s="28" t="str">
        <x:v>Primary Source URL</x:v>
      </x:c>
    </x:row>
    <x:row r="6" ht="42" customHeight="1">
      <x:c r="A6" s="56" t="n">
        <x:v>1</x:v>
      </x:c>
      <x:c r="B6" s="39" t="str">
        <x:v>Foundation models and GenAI fundamentals</x:v>
      </x:c>
      <x:c r="C6" s="62" t="n">
        <x:v>0</x:v>
      </x:c>
      <x:c r="D6" s="39" t="str">
        <x:v>Layer 0 — GenAI and AWS foundations</x:v>
      </x:c>
      <x:c r="E6" s="39" t="str">
        <x:v>Foundational / cross-cutting</x:v>
      </x:c>
      <x:c r="F6" s="39" t="str">
        <x:v>Foundation (supports all domains)</x:v>
      </x:c>
      <x:c r="G6" s="39" t="str">
        <x:v>Cross-domain</x:v>
      </x:c>
      <x:c r="H6" s="39" t="str"/>
      <x:c r="I6" s="39" t="str"/>
      <x:c r="J6" s="62" t="str">
        <x:f>IF(AND(H6="",I6=""),"None",IF(I6="","Hard","Mixed"))</x:f>
        <x:v>None</x:v>
      </x:c>
      <x:c r="K6" s="62" t="str">
        <x:v>Level 2 — Explain</x:v>
      </x:c>
      <x:c r="L6" s="62" t="str">
        <x:v>Hard</x:v>
      </x:c>
      <x:c r="M6" s="39" t="str">
        <x:v>Explain foundation models and GenAI from memory and distinguish inference from training or customization</x:v>
      </x:c>
      <x:c r="N6" s="39" t="str">
        <x:v>Declarative; Conceptual</x:v>
      </x:c>
      <x:c r="O6" s="39" t="str">
        <x:v>Concept map and concise explanation; retrieval quiz</x:v>
      </x:c>
      <x:c r="P6" s="40" t="str">
        <x:v>https://docs.aws.amazon.com/aws-certification/latest/ai-professional-01/ai-professional-01.html</x:v>
      </x:c>
    </x:row>
    <x:row r="7" ht="42" customHeight="1">
      <x:c r="A7" s="57" t="n">
        <x:v>2</x:v>
      </x:c>
      <x:c r="B7" s="42" t="str">
        <x:v>Tokens, context windows, inference, temperature, top-k, and top-p</x:v>
      </x:c>
      <x:c r="C7" s="63" t="n">
        <x:v>0</x:v>
      </x:c>
      <x:c r="D7" s="42" t="str">
        <x:v>Layer 0 — GenAI and AWS foundations</x:v>
      </x:c>
      <x:c r="E7" s="42" t="str">
        <x:v>Foundational / cross-cutting</x:v>
      </x:c>
      <x:c r="F7" s="42" t="str">
        <x:v>1.6.5; 4.1.1; 4.2.4; 5.2.1</x:v>
      </x:c>
      <x:c r="G7" s="42" t="str">
        <x:v>1.6 Implement prompt engineering strategies and governance for FM interactions; 4.1 Implement cost optimization and resource efficiency strategies; 4.2 Optimize application performance; 5.2 Troubleshoot GenAI applications</x:v>
      </x:c>
      <x:c r="H7" s="42" t="str">
        <x:v>1</x:v>
      </x:c>
      <x:c r="I7" s="42" t="str"/>
      <x:c r="J7" s="63" t="str">
        <x:f>IF(AND(H7="",I7=""),"None",IF(I7="","Hard","Mixed"))</x:f>
        <x:v>Hard</x:v>
      </x:c>
      <x:c r="K7" s="63" t="str">
        <x:v>Level 2 — Explain</x:v>
      </x:c>
      <x:c r="L7" s="63" t="str">
        <x:v>Hard</x:v>
      </x:c>
      <x:c r="M7" s="42" t="str">
        <x:v>Explain token, context, and sampling behavior; predict the effect of changing one parameter</x:v>
      </x:c>
      <x:c r="N7" s="42" t="str">
        <x:v>Declarative; Conceptual; Causal</x:v>
      </x:c>
      <x:c r="O7" s="42" t="str">
        <x:v>Worked examples and controlled parameter experiments</x:v>
      </x:c>
      <x:c r="P7" s="43" t="str">
        <x:v>https://docs.aws.amazon.com/aws-certification/latest/ai-professional-01/ai-professional-01.html</x:v>
      </x:c>
    </x:row>
    <x:row r="8" ht="42" customHeight="1">
      <x:c r="A8" s="57" t="n">
        <x:v>3</x:v>
      </x:c>
      <x:c r="B8" s="42" t="str">
        <x:v>AWS GenAI service landscape: Bedrock, SageMaker AI, Lambda, API Gateway, Step Functions, SQS, EventBridge, S3, DynamoDB, OpenSearch, CloudWatch, X-Ray, IAM</x:v>
      </x:c>
      <x:c r="C8" s="63" t="n">
        <x:v>0</x:v>
      </x:c>
      <x:c r="D8" s="42" t="str">
        <x:v>Layer 0 — GenAI and AWS foundations</x:v>
      </x:c>
      <x:c r="E8" s="42" t="str">
        <x:v>Foundational / cross-cutting</x:v>
      </x:c>
      <x:c r="F8" s="42" t="str">
        <x:v>Cross-domain technologies/concepts; in-scope services</x:v>
      </x:c>
      <x:c r="G8" s="42" t="str">
        <x:v>Cross-domain</x:v>
      </x:c>
      <x:c r="H8" s="42" t="str">
        <x:v>1</x:v>
      </x:c>
      <x:c r="I8" s="42" t="str"/>
      <x:c r="J8" s="63" t="str">
        <x:f>IF(AND(H8="",I8=""),"None",IF(I8="","Hard","Mixed"))</x:f>
        <x:v>Hard</x:v>
      </x:c>
      <x:c r="K8" s="63" t="str">
        <x:v>Level 2 — Explain</x:v>
      </x:c>
      <x:c r="L8" s="63" t="str">
        <x:v>Hard</x:v>
      </x:c>
      <x:c r="M8" s="42" t="str">
        <x:v>Match core AWS services to their roles in a simple GenAI architecture and explain the boundaries</x:v>
      </x:c>
      <x:c r="N8" s="42" t="str">
        <x:v>Declarative; Conceptual; Embedded</x:v>
      </x:c>
      <x:c r="O8" s="42" t="str">
        <x:v>AWS service map and use-case matching exercises</x:v>
      </x:c>
      <x:c r="P8" s="43" t="str">
        <x:v>https://docs.aws.amazon.com/aws-certification/latest/ai-professional-01/aip-01-in-scope-services.html</x:v>
      </x:c>
    </x:row>
    <x:row r="9" ht="42" customHeight="1">
      <x:c r="A9" s="57" t="n">
        <x:v>4</x:v>
      </x:c>
      <x:c r="B9" s="42" t="str">
        <x:v>API, event-driven, serverless, container, and workflow fundamentals</x:v>
      </x:c>
      <x:c r="C9" s="63" t="n">
        <x:v>0</x:v>
      </x:c>
      <x:c r="D9" s="42" t="str">
        <x:v>Layer 0 — GenAI and AWS foundations</x:v>
      </x:c>
      <x:c r="E9" s="42" t="str">
        <x:v>Foundational / cross-cutting</x:v>
      </x:c>
      <x:c r="F9" s="42" t="str">
        <x:v>2.3.1; 2.4.1; 2.5.1</x:v>
      </x:c>
      <x:c r="G9" s="42" t="str">
        <x:v>2.3 Design and implement enterprise integration architectures; 2.4 Implement FM API integrations; 2.5 Implement application integration patterns and development tools</x:v>
      </x:c>
      <x:c r="H9" s="42" t="str">
        <x:v>3</x:v>
      </x:c>
      <x:c r="I9" s="42" t="str">
        <x:v>1</x:v>
      </x:c>
      <x:c r="J9" s="63" t="str">
        <x:f>IF(AND(H9="",I9=""),"None",IF(I9="","Hard","Mixed"))</x:f>
        <x:v>Mixed</x:v>
      </x:c>
      <x:c r="K9" s="63" t="str">
        <x:v>Level 2 — Explain</x:v>
      </x:c>
      <x:c r="L9" s="63" t="str">
        <x:v>Hard</x:v>
      </x:c>
      <x:c r="M9" s="42" t="str">
        <x:v>Compare synchronous, asynchronous, event-driven, serverless, container, and workflow patterns</x:v>
      </x:c>
      <x:c r="N9" s="42" t="str">
        <x:v>Conceptual; Conditional</x:v>
      </x:c>
      <x:c r="O9" s="42" t="str">
        <x:v>Architecture-pattern comparison and design sketch</x:v>
      </x:c>
      <x:c r="P9" s="43" t="str">
        <x:v>https://docs.aws.amazon.com/aws-certification/latest/ai-professional-01/ai-professional-01-domain2.html</x:v>
      </x:c>
    </x:row>
    <x:row r="10" ht="42" customHeight="1">
      <x:c r="A10" s="57" t="n">
        <x:v>5</x:v>
      </x:c>
      <x:c r="B10" s="42" t="str">
        <x:v>IAM, trust boundaries, least privilege, networking, and data-protection fundamentals</x:v>
      </x:c>
      <x:c r="C10" s="63" t="n">
        <x:v>0</x:v>
      </x:c>
      <x:c r="D10" s="42" t="str">
        <x:v>Layer 0 — GenAI and AWS foundations</x:v>
      </x:c>
      <x:c r="E10" s="42" t="str">
        <x:v>Foundational / cross-cutting</x:v>
      </x:c>
      <x:c r="F10" s="42" t="str">
        <x:v>2.3.3; 3.2.1; 3.2.2</x:v>
      </x:c>
      <x:c r="G10" s="42" t="str">
        <x:v>2.3 Design and implement enterprise integration architectures; 3.2 Implement data security and privacy controls</x:v>
      </x:c>
      <x:c r="H10" s="42" t="str">
        <x:v>3, 4</x:v>
      </x:c>
      <x:c r="I10" s="42" t="str">
        <x:v>2</x:v>
      </x:c>
      <x:c r="J10" s="63" t="str">
        <x:f>IF(AND(H10="",I10=""),"None",IF(I10="","Hard","Mixed"))</x:f>
        <x:v>Mixed</x:v>
      </x:c>
      <x:c r="K10" s="63" t="str">
        <x:v>Level 4 — Select/Diagnose</x:v>
      </x:c>
      <x:c r="L10" s="63" t="str">
        <x:v>Hard</x:v>
      </x:c>
      <x:c r="M10" s="42" t="str">
        <x:v>Apply the control to a scenario and prove prohibited access or data exposure is blocked</x:v>
      </x:c>
      <x:c r="N10" s="42" t="str">
        <x:v>Conceptual; Conditional; Normative</x:v>
      </x:c>
      <x:c r="O10" s="42" t="str">
        <x:v>Trust-boundary diagram and IAM scenario analysis</x:v>
      </x:c>
      <x:c r="P10" s="43" t="str">
        <x:v>https://docs.aws.amazon.com/aws-certification/latest/ai-professional-01/ai-professional-01.html</x:v>
      </x:c>
    </x:row>
    <x:row r="11" ht="42" customHeight="1">
      <x:c r="A11" s="57" t="n">
        <x:v>6</x:v>
      </x:c>
      <x:c r="B11" s="42" t="str">
        <x:v>GenAI requirements analysis and basic solution architecture</x:v>
      </x:c>
      <x:c r="C11" s="63" t="n">
        <x:v>0</x:v>
      </x:c>
      <x:c r="D11" s="42" t="str">
        <x:v>Layer 0 — GenAI and AWS foundations</x:v>
      </x:c>
      <x:c r="E11" s="42" t="str">
        <x:v>Official skill-derived</x:v>
      </x:c>
      <x:c r="F11" s="42" t="str">
        <x:v>1.1.1; 1.1.2; 1.1.3</x:v>
      </x:c>
      <x:c r="G11" s="42" t="str">
        <x:v>1.1 Analyze requirements and design GenAI solutions</x:v>
      </x:c>
      <x:c r="H11" s="42" t="str">
        <x:v>1, 3, 4, 5</x:v>
      </x:c>
      <x:c r="I11" s="42" t="str">
        <x:v>2</x:v>
      </x:c>
      <x:c r="J11" s="63" t="str">
        <x:f>IF(AND(H11="",I11=""),"None",IF(I11="","Hard","Mixed"))</x:f>
        <x:v>Mixed</x:v>
      </x:c>
      <x:c r="K11" s="63" t="str">
        <x:v>Level 4 — Select/Diagnose</x:v>
      </x:c>
      <x:c r="L11" s="63" t="str">
        <x:v>Hard</x:v>
      </x:c>
      <x:c r="M11" s="42" t="str">
        <x:v>Design a solution for a novel case and defend component choices, constraints, and residual risks</x:v>
      </x:c>
      <x:c r="N11" s="42" t="str">
        <x:v>Conceptual; Conditional; Strategic</x:v>
      </x:c>
      <x:c r="O11" s="42" t="str">
        <x:v>Requirements case study and architecture decision record</x:v>
      </x:c>
      <x:c r="P11" s="43" t="str">
        <x:v>https://docs.aws.amazon.com/aws-certification/latest/ai-professional-01/ai-professional-01-domain1.html</x:v>
      </x:c>
    </x:row>
    <x:row r="12" ht="42" customHeight="1">
      <x:c r="A12" s="57" t="n">
        <x:v>7</x:v>
      </x:c>
      <x:c r="B12" s="42" t="str">
        <x:v>Foundation-model capabilities, limitations, and basic model selection</x:v>
      </x:c>
      <x:c r="C12" s="63" t="n">
        <x:v>0</x:v>
      </x:c>
      <x:c r="D12" s="42" t="str">
        <x:v>Layer 0 — GenAI and AWS foundations</x:v>
      </x:c>
      <x:c r="E12" s="42" t="str">
        <x:v>Official skill-derived</x:v>
      </x:c>
      <x:c r="F12" s="42" t="str">
        <x:v>1.2.1</x:v>
      </x:c>
      <x:c r="G12" s="42" t="str">
        <x:v>1.2 Select and configure FMs</x:v>
      </x:c>
      <x:c r="H12" s="42" t="str">
        <x:v>1, 2, 6</x:v>
      </x:c>
      <x:c r="I12" s="42" t="str"/>
      <x:c r="J12" s="63" t="str">
        <x:f>IF(AND(H12="",I12=""),"None",IF(I12="","Hard","Mixed"))</x:f>
        <x:v>Hard</x:v>
      </x:c>
      <x:c r="K12" s="63" t="str">
        <x:v>Level 4 — Select/Diagnose</x:v>
      </x:c>
      <x:c r="L12" s="63" t="str">
        <x:v>Hard</x:v>
      </x:c>
      <x:c r="M12" s="42" t="str">
        <x:v>Choose among plausible models or routes using evidence and explain why alternatives are inferior</x:v>
      </x:c>
      <x:c r="N12" s="42" t="str">
        <x:v>Declarative; Conditional; Strategic</x:v>
      </x:c>
      <x:c r="O12" s="42" t="str">
        <x:v>Model comparison matrix and selection scenarios</x:v>
      </x:c>
      <x:c r="P12" s="43" t="str">
        <x:v>https://docs.aws.amazon.com/aws-certification/latest/ai-professional-01/ai-professional-01-domain1.html</x:v>
      </x:c>
    </x:row>
    <x:row r="13" ht="42" customHeight="1">
      <x:c r="A13" s="57" t="n">
        <x:v>8</x:v>
      </x:c>
      <x:c r="B13" s="42" t="str">
        <x:v>Basic Amazon Bedrock model invocation</x:v>
      </x:c>
      <x:c r="C13" s="63" t="n">
        <x:v>0</x:v>
      </x:c>
      <x:c r="D13" s="42" t="str">
        <x:v>Layer 0 — GenAI and AWS foundations</x:v>
      </x:c>
      <x:c r="E13" s="42" t="str">
        <x:v>Official skill-derived</x:v>
      </x:c>
      <x:c r="F13" s="42" t="str">
        <x:v>2.2.1; 2.4.1</x:v>
      </x:c>
      <x:c r="G13" s="42" t="str">
        <x:v>2.2 Implement model deployment strategies; 2.4 Implement FM API integrations</x:v>
      </x:c>
      <x:c r="H13" s="42" t="str">
        <x:v>3, 5, 7</x:v>
      </x:c>
      <x:c r="I13" s="42" t="str">
        <x:v>4</x:v>
      </x:c>
      <x:c r="J13" s="63" t="str">
        <x:f>IF(AND(H13="",I13=""),"None",IF(I13="","Hard","Mixed"))</x:f>
        <x:v>Mixed</x:v>
      </x:c>
      <x:c r="K13" s="63" t="str">
        <x:v>Level 3 — Apply/Implement</x:v>
      </x:c>
      <x:c r="L13" s="63" t="str">
        <x:v>Hard</x:v>
      </x:c>
      <x:c r="M13" s="42" t="str">
        <x:v>Complete an independent hands-on task and explain the key implementation decisions</x:v>
      </x:c>
      <x:c r="N13" s="42" t="str">
        <x:v>Procedural; Embedded</x:v>
      </x:c>
      <x:c r="O13" s="42" t="str">
        <x:v>Guided Bedrock API lab followed by independent invocation</x:v>
      </x:c>
      <x:c r="P13" s="43" t="str">
        <x:v>https://docs.aws.amazon.com/aws-certification/latest/ai-professional-01/ai-professional-01-domain2.html</x:v>
      </x:c>
    </x:row>
    <x:row r="14" ht="42" customHeight="1">
      <x:c r="A14" s="57" t="n">
        <x:v>9</x:v>
      </x:c>
      <x:c r="B14" s="42" t="str">
        <x:v>Prompt fundamentals, instructions, templates, and structured outputs</x:v>
      </x:c>
      <x:c r="C14" s="63" t="n">
        <x:v>0</x:v>
      </x:c>
      <x:c r="D14" s="42" t="str">
        <x:v>Layer 0 — GenAI and AWS foundations</x:v>
      </x:c>
      <x:c r="E14" s="42" t="str">
        <x:v>Official skill-derived</x:v>
      </x:c>
      <x:c r="F14" s="42" t="str">
        <x:v>1.6.1; 1.6.5</x:v>
      </x:c>
      <x:c r="G14" s="42" t="str">
        <x:v>1.6 Implement prompt engineering strategies and governance for FM interactions</x:v>
      </x:c>
      <x:c r="H14" s="42" t="str">
        <x:v>2, 8</x:v>
      </x:c>
      <x:c r="I14" s="42" t="str"/>
      <x:c r="J14" s="63" t="str">
        <x:f>IF(AND(H14="",I14=""),"None",IF(I14="","Hard","Mixed"))</x:f>
        <x:v>Hard</x:v>
      </x:c>
      <x:c r="K14" s="63" t="str">
        <x:v>Level 3 — Apply/Implement</x:v>
      </x:c>
      <x:c r="L14" s="63" t="str">
        <x:v>Hard</x:v>
      </x:c>
      <x:c r="M14" s="42" t="str">
        <x:v>Improve a prompt against a fixed test set and demonstrate that no critical regression was introduced</x:v>
      </x:c>
      <x:c r="N14" s="42" t="str">
        <x:v>Conceptual; Procedural; Causal</x:v>
      </x:c>
      <x:c r="O14" s="42" t="str">
        <x:v>Prompt examples and iterative prompt laboratory</x:v>
      </x:c>
      <x:c r="P14" s="43" t="str">
        <x:v>https://docs.aws.amazon.com/aws-certification/latest/ai-professional-01/ai-professional-01-domain1.html</x:v>
      </x:c>
    </x:row>
    <x:row r="15" ht="42" customHeight="1">
      <x:c r="A15" s="57" t="n">
        <x:v>10</x:v>
      </x:c>
      <x:c r="B15" s="42" t="str">
        <x:v>Basic GenAI evaluation concepts and golden datasets</x:v>
      </x:c>
      <x:c r="C15" s="63" t="n">
        <x:v>0</x:v>
      </x:c>
      <x:c r="D15" s="42" t="str">
        <x:v>Layer 0 — GenAI and AWS foundations</x:v>
      </x:c>
      <x:c r="E15" s="42" t="str">
        <x:v>Official skill-derived</x:v>
      </x:c>
      <x:c r="F15" s="42" t="str">
        <x:v>5.1.1; 5.1.4; 5.1.5</x:v>
      </x:c>
      <x:c r="G15" s="42" t="str">
        <x:v>5.1 Implement evaluation systems for GenAI</x:v>
      </x:c>
      <x:c r="H15" s="42" t="str">
        <x:v>8, 9</x:v>
      </x:c>
      <x:c r="I15" s="42" t="str">
        <x:v>6</x:v>
      </x:c>
      <x:c r="J15" s="63" t="str">
        <x:f>IF(AND(H15="",I15=""),"None",IF(I15="","Hard","Mixed"))</x:f>
        <x:v>Mixed</x:v>
      </x:c>
      <x:c r="K15" s="63" t="str">
        <x:v>Level 4 — Select/Diagnose</x:v>
      </x:c>
      <x:c r="L15" s="63" t="str">
        <x:v>Hard</x:v>
      </x:c>
      <x:c r="M15" s="42" t="str">
        <x:v>Build or apply an evaluation set, interpret results, and make a justified release or model decision</x:v>
      </x:c>
      <x:c r="N15" s="42" t="str">
        <x:v>Conceptual; Procedural</x:v>
      </x:c>
      <x:c r="O15" s="42" t="str">
        <x:v>Build a small golden dataset and score sample outputs</x:v>
      </x:c>
      <x:c r="P15" s="43" t="str">
        <x:v>https://docs.aws.amazon.com/aws-certification/latest/ai-professional-01/ai-professional-01-domain5.html</x:v>
      </x:c>
    </x:row>
    <x:row r="16" ht="42" customHeight="1">
      <x:c r="A16" s="57" t="n">
        <x:v>11</x:v>
      </x:c>
      <x:c r="B16" s="42" t="str">
        <x:v>Data-quality validation and monitoring</x:v>
      </x:c>
      <x:c r="C16" s="63" t="n">
        <x:v>1</x:v>
      </x:c>
      <x:c r="D16" s="42" t="str">
        <x:v>Layer 1 — Data and RAG foundations</x:v>
      </x:c>
      <x:c r="E16" s="42" t="str">
        <x:v>Official skill-derived</x:v>
      </x:c>
      <x:c r="F16" s="42" t="str">
        <x:v>1.3.1</x:v>
      </x:c>
      <x:c r="G16" s="42" t="str">
        <x:v>1.3 Implement data validation and processing pipelines for FM consumption</x:v>
      </x:c>
      <x:c r="H16" s="42" t="str">
        <x:v>3, 5</x:v>
      </x:c>
      <x:c r="I16" s="42" t="str">
        <x:v>6</x:v>
      </x:c>
      <x:c r="J16" s="63" t="str">
        <x:f>IF(AND(H16="",I16=""),"None",IF(I16="","Hard","Mixed"))</x:f>
        <x:v>Mixed</x:v>
      </x:c>
      <x:c r="K16" s="63" t="str">
        <x:v>Level 3 — Apply/Implement</x:v>
      </x:c>
      <x:c r="L16" s="63" t="str">
        <x:v>Hard</x:v>
      </x:c>
      <x:c r="M16" s="42" t="str">
        <x:v>Instrument the system, detect an injected anomaly, and identify the affected component</x:v>
      </x:c>
      <x:c r="N16" s="42" t="str">
        <x:v>Procedural; Causal; Embedded</x:v>
      </x:c>
      <x:c r="O16" s="42" t="str">
        <x:v>Data-quality lab using deliberately defective records</x:v>
      </x:c>
      <x:c r="P16" s="43" t="str">
        <x:v>https://docs.aws.amazon.com/aws-certification/latest/ai-professional-01/ai-professional-01-domain1.html</x:v>
      </x:c>
    </x:row>
    <x:row r="17" ht="42" customHeight="1">
      <x:c r="A17" s="57" t="n">
        <x:v>12</x:v>
      </x:c>
      <x:c r="B17" s="42" t="str">
        <x:v>Text, image, audio, and tabular-data preprocessing</x:v>
      </x:c>
      <x:c r="C17" s="63" t="n">
        <x:v>1</x:v>
      </x:c>
      <x:c r="D17" s="42" t="str">
        <x:v>Layer 1 — Data and RAG foundations</x:v>
      </x:c>
      <x:c r="E17" s="42" t="str">
        <x:v>Official skill-derived</x:v>
      </x:c>
      <x:c r="F17" s="42" t="str">
        <x:v>1.3.2</x:v>
      </x:c>
      <x:c r="G17" s="42" t="str">
        <x:v>1.3 Implement data validation and processing pipelines for FM consumption</x:v>
      </x:c>
      <x:c r="H17" s="42" t="str">
        <x:v>11</x:v>
      </x:c>
      <x:c r="I17" s="42" t="str">
        <x:v>1</x:v>
      </x:c>
      <x:c r="J17" s="63" t="str">
        <x:f>IF(AND(H17="",I17=""),"None",IF(I17="","Hard","Mixed"))</x:f>
        <x:v>Mixed</x:v>
      </x:c>
      <x:c r="K17" s="63" t="str">
        <x:v>Level 3 — Apply/Implement</x:v>
      </x:c>
      <x:c r="L17" s="63" t="str">
        <x:v>Soft</x:v>
      </x:c>
      <x:c r="M17" s="42" t="str">
        <x:v>Complete an independent hands-on task and explain the key implementation decisions</x:v>
      </x:c>
      <x:c r="N17" s="42" t="str">
        <x:v>Conceptual; Procedural; Conditional</x:v>
      </x:c>
      <x:c r="O17" s="42" t="str">
        <x:v>Multimodal preprocessing lab and modality comparison</x:v>
      </x:c>
      <x:c r="P17" s="43" t="str">
        <x:v>https://docs.aws.amazon.com/aws-certification/latest/ai-professional-01/ai-professional-01-domain1.html</x:v>
      </x:c>
    </x:row>
    <x:row r="18" ht="42" customHeight="1">
      <x:c r="A18" s="57" t="n">
        <x:v>13</x:v>
      </x:c>
      <x:c r="B18" s="42" t="str">
        <x:v>Model-specific input formatting and data normalization</x:v>
      </x:c>
      <x:c r="C18" s="63" t="n">
        <x:v>1</x:v>
      </x:c>
      <x:c r="D18" s="42" t="str">
        <x:v>Layer 1 — Data and RAG foundations</x:v>
      </x:c>
      <x:c r="E18" s="42" t="str">
        <x:v>Official skill-derived</x:v>
      </x:c>
      <x:c r="F18" s="42" t="str">
        <x:v>1.3.3; 1.3.4</x:v>
      </x:c>
      <x:c r="G18" s="42" t="str">
        <x:v>1.3 Implement data validation and processing pipelines for FM consumption</x:v>
      </x:c>
      <x:c r="H18" s="42" t="str">
        <x:v>8, 11, 12</x:v>
      </x:c>
      <x:c r="I18" s="42" t="str">
        <x:v>9</x:v>
      </x:c>
      <x:c r="J18" s="63" t="str">
        <x:f>IF(AND(H18="",I18=""),"None",IF(I18="","Hard","Mixed"))</x:f>
        <x:v>Mixed</x:v>
      </x:c>
      <x:c r="K18" s="63" t="str">
        <x:v>Level 3 — Apply/Implement</x:v>
      </x:c>
      <x:c r="L18" s="63" t="str">
        <x:v>Hard</x:v>
      </x:c>
      <x:c r="M18" s="42" t="str">
        <x:v>Complete an independent hands-on task and explain the key implementation decisions</x:v>
      </x:c>
      <x:c r="N18" s="42" t="str">
        <x:v>Declarative; Procedural; Embedded</x:v>
      </x:c>
      <x:c r="O18" s="42" t="str">
        <x:v>Schema and request-formatting laboratory</x:v>
      </x:c>
      <x:c r="P18" s="43" t="str">
        <x:v>https://docs.aws.amazon.com/aws-certification/latest/ai-professional-01/ai-professional-01-domain1.html</x:v>
      </x:c>
    </x:row>
    <x:row r="19" ht="42" customHeight="1">
      <x:c r="A19" s="57" t="n">
        <x:v>14</x:v>
      </x:c>
      <x:c r="B19" s="42" t="str">
        <x:v>Embeddings and vector-similarity fundamentals</x:v>
      </x:c>
      <x:c r="C19" s="63" t="n">
        <x:v>1</x:v>
      </x:c>
      <x:c r="D19" s="42" t="str">
        <x:v>Layer 1 — Data and RAG foundations</x:v>
      </x:c>
      <x:c r="E19" s="42" t="str">
        <x:v>Official skill-derived</x:v>
      </x:c>
      <x:c r="F19" s="42" t="str">
        <x:v>1.5.2</x:v>
      </x:c>
      <x:c r="G19" s="42" t="str">
        <x:v>1.5 Design retrieval mechanisms for FM augmentation</x:v>
      </x:c>
      <x:c r="H19" s="42" t="str">
        <x:v>1, 2</x:v>
      </x:c>
      <x:c r="I19" s="42" t="str">
        <x:v>3</x:v>
      </x:c>
      <x:c r="J19" s="63" t="str">
        <x:f>IF(AND(H19="",I19=""),"None",IF(I19="","Hard","Mixed"))</x:f>
        <x:v>Mixed</x:v>
      </x:c>
      <x:c r="K19" s="63" t="str">
        <x:v>Level 2 — Explain</x:v>
      </x:c>
      <x:c r="L19" s="63" t="str">
        <x:v>Hard</x:v>
      </x:c>
      <x:c r="M19" s="42" t="str">
        <x:v>Explain embeddings and vector similarity and interpret a simple nearest-neighbor example</x:v>
      </x:c>
      <x:c r="N19" s="42" t="str">
        <x:v>Declarative; Conceptual</x:v>
      </x:c>
      <x:c r="O19" s="42" t="str">
        <x:v>Embedding visualization, nearest-neighbor exercise, and explanation</x:v>
      </x:c>
      <x:c r="P19" s="43" t="str">
        <x:v>https://docs.aws.amazon.com/aws-certification/latest/ai-professional-01/ai-professional-01-domain1.html</x:v>
      </x:c>
    </x:row>
    <x:row r="20" ht="42" customHeight="1">
      <x:c r="A20" s="57" t="n">
        <x:v>15</x:v>
      </x:c>
      <x:c r="B20" s="42" t="str">
        <x:v>Document chunking and segmentation</x:v>
      </x:c>
      <x:c r="C20" s="63" t="n">
        <x:v>1</x:v>
      </x:c>
      <x:c r="D20" s="42" t="str">
        <x:v>Layer 1 — Data and RAG foundations</x:v>
      </x:c>
      <x:c r="E20" s="42" t="str">
        <x:v>Official skill-derived</x:v>
      </x:c>
      <x:c r="F20" s="42" t="str">
        <x:v>1.5.1</x:v>
      </x:c>
      <x:c r="G20" s="42" t="str">
        <x:v>1.5 Design retrieval mechanisms for FM augmentation</x:v>
      </x:c>
      <x:c r="H20" s="42" t="str">
        <x:v>14</x:v>
      </x:c>
      <x:c r="I20" s="42" t="str">
        <x:v>13</x:v>
      </x:c>
      <x:c r="J20" s="63" t="str">
        <x:f>IF(AND(H20="",I20=""),"None",IF(I20="","Hard","Mixed"))</x:f>
        <x:v>Mixed</x:v>
      </x:c>
      <x:c r="K20" s="63" t="str">
        <x:v>Level 3 — Apply/Implement</x:v>
      </x:c>
      <x:c r="L20" s="63" t="str">
        <x:v>Hard</x:v>
      </x:c>
      <x:c r="M20" s="42" t="str">
        <x:v>Run representative queries, measure retrieval quality, and explain or correct one failure</x:v>
      </x:c>
      <x:c r="N20" s="42" t="str">
        <x:v>Conceptual; Procedural; Causal; Conditional</x:v>
      </x:c>
      <x:c r="O20" s="42" t="str">
        <x:v>Controlled chunking experiments on varied documents</x:v>
      </x:c>
      <x:c r="P20" s="43" t="str">
        <x:v>https://docs.aws.amazon.com/aws-certification/latest/ai-professional-01/ai-professional-01-domain1.html</x:v>
      </x:c>
    </x:row>
    <x:row r="21" ht="42" customHeight="1">
      <x:c r="A21" s="57" t="n">
        <x:v>16</x:v>
      </x:c>
      <x:c r="B21" s="42" t="str">
        <x:v>Metadata design and filtering</x:v>
      </x:c>
      <x:c r="C21" s="63" t="n">
        <x:v>1</x:v>
      </x:c>
      <x:c r="D21" s="42" t="str">
        <x:v>Layer 1 — Data and RAG foundations</x:v>
      </x:c>
      <x:c r="E21" s="42" t="str">
        <x:v>Official skill-derived</x:v>
      </x:c>
      <x:c r="F21" s="42" t="str">
        <x:v>1.4.2</x:v>
      </x:c>
      <x:c r="G21" s="42" t="str">
        <x:v>1.4 Design and implement vector store solutions</x:v>
      </x:c>
      <x:c r="H21" s="42" t="str">
        <x:v>11, 15</x:v>
      </x:c>
      <x:c r="I21" s="42" t="str">
        <x:v>5</x:v>
      </x:c>
      <x:c r="J21" s="63" t="str">
        <x:f>IF(AND(H21="",I21=""),"None",IF(I21="","Hard","Mixed"))</x:f>
        <x:v>Mixed</x:v>
      </x:c>
      <x:c r="K21" s="63" t="str">
        <x:v>Level 3 — Apply/Implement</x:v>
      </x:c>
      <x:c r="L21" s="63" t="str">
        <x:v>Hard</x:v>
      </x:c>
      <x:c r="M21" s="42" t="str">
        <x:v>Complete an independent hands-on task and explain the key implementation decisions</x:v>
      </x:c>
      <x:c r="N21" s="42" t="str">
        <x:v>Conceptual; Procedural; Conditional</x:v>
      </x:c>
      <x:c r="O21" s="42" t="str">
        <x:v>Metadata-schema design and filtered-retrieval test</x:v>
      </x:c>
      <x:c r="P21" s="43" t="str">
        <x:v>https://docs.aws.amazon.com/aws-certification/latest/ai-professional-01/ai-professional-01-domain1.html</x:v>
      </x:c>
    </x:row>
    <x:row r="22" ht="42" customHeight="1">
      <x:c r="A22" s="57" t="n">
        <x:v>17</x:v>
      </x:c>
      <x:c r="B22" s="42" t="str">
        <x:v>Vector-store technologies and architecture</x:v>
      </x:c>
      <x:c r="C22" s="63" t="n">
        <x:v>1</x:v>
      </x:c>
      <x:c r="D22" s="42" t="str">
        <x:v>Layer 1 — Data and RAG foundations</x:v>
      </x:c>
      <x:c r="E22" s="42" t="str">
        <x:v>Official skill-derived</x:v>
      </x:c>
      <x:c r="F22" s="42" t="str">
        <x:v>1.4.1; 1.5.3</x:v>
      </x:c>
      <x:c r="G22" s="42" t="str">
        <x:v>1.4 Design and implement vector store solutions; 1.5 Design retrieval mechanisms for FM augmentation</x:v>
      </x:c>
      <x:c r="H22" s="42" t="str">
        <x:v>3, 14, 16</x:v>
      </x:c>
      <x:c r="I22" s="42" t="str">
        <x:v>6</x:v>
      </x:c>
      <x:c r="J22" s="63" t="str">
        <x:f>IF(AND(H22="",I22=""),"None",IF(I22="","Hard","Mixed"))</x:f>
        <x:v>Mixed</x:v>
      </x:c>
      <x:c r="K22" s="63" t="str">
        <x:v>Level 4 — Select/Diagnose</x:v>
      </x:c>
      <x:c r="L22" s="63" t="str">
        <x:v>Hard</x:v>
      </x:c>
      <x:c r="M22" s="42" t="str">
        <x:v>Design a solution for a novel case and defend component choices, constraints, and residual risks</x:v>
      </x:c>
      <x:c r="N22" s="42" t="str">
        <x:v>Conceptual; Conditional; Strategic; Embedded</x:v>
      </x:c>
      <x:c r="O22" s="42" t="str">
        <x:v>Architecture comparison and managed-versus-custom implementation</x:v>
      </x:c>
      <x:c r="P22" s="43" t="str">
        <x:v>https://docs.aws.amazon.com/aws-certification/latest/ai-professional-01/ai-professional-01-domain1.html</x:v>
      </x:c>
    </x:row>
    <x:row r="23" ht="42" customHeight="1">
      <x:c r="A23" s="57" t="n">
        <x:v>18</x:v>
      </x:c>
      <x:c r="B23" s="42" t="str">
        <x:v>Vector indexing, sharding, scaling, and performance</x:v>
      </x:c>
      <x:c r="C23" s="63" t="n">
        <x:v>1</x:v>
      </x:c>
      <x:c r="D23" s="42" t="str">
        <x:v>Layer 1 — Data and RAG foundations</x:v>
      </x:c>
      <x:c r="E23" s="42" t="str">
        <x:v>Official skill-derived</x:v>
      </x:c>
      <x:c r="F23" s="42" t="str">
        <x:v>1.4.3</x:v>
      </x:c>
      <x:c r="G23" s="42" t="str">
        <x:v>1.4 Design and implement vector store solutions</x:v>
      </x:c>
      <x:c r="H23" s="42" t="str">
        <x:v>17</x:v>
      </x:c>
      <x:c r="I23" s="42" t="str">
        <x:v>11</x:v>
      </x:c>
      <x:c r="J23" s="63" t="str">
        <x:f>IF(AND(H23="",I23=""),"None",IF(I23="","Hard","Mixed"))</x:f>
        <x:v>Mixed</x:v>
      </x:c>
      <x:c r="K23" s="63" t="str">
        <x:v>Level 4 — Select/Diagnose</x:v>
      </x:c>
      <x:c r="L23" s="63" t="str">
        <x:v>Hard</x:v>
      </x:c>
      <x:c r="M23" s="42" t="str">
        <x:v>Benchmark a baseline, apply one justified change, and explain the measured quality/cost/performance effect</x:v>
      </x:c>
      <x:c r="N23" s="42" t="str">
        <x:v>Conceptual; Procedural; Causal; Embedded</x:v>
      </x:c>
      <x:c r="O23" s="42" t="str">
        <x:v>Index benchmark and sharding experiment</x:v>
      </x:c>
      <x:c r="P23" s="43" t="str">
        <x:v>https://docs.aws.amazon.com/aws-certification/latest/ai-professional-01/ai-professional-01-domain1.html</x:v>
      </x:c>
    </x:row>
    <x:row r="24" ht="42" customHeight="1">
      <x:c r="A24" s="57" t="n">
        <x:v>19</x:v>
      </x:c>
      <x:c r="B24" s="42" t="str">
        <x:v>Basic semantic retrieval</x:v>
      </x:c>
      <x:c r="C24" s="63" t="n">
        <x:v>1</x:v>
      </x:c>
      <x:c r="D24" s="42" t="str">
        <x:v>Layer 1 — Data and RAG foundations</x:v>
      </x:c>
      <x:c r="E24" s="42" t="str">
        <x:v>Official skill-derived</x:v>
      </x:c>
      <x:c r="F24" s="42" t="str">
        <x:v>1.5.3</x:v>
      </x:c>
      <x:c r="G24" s="42" t="str">
        <x:v>1.5 Design retrieval mechanisms for FM augmentation</x:v>
      </x:c>
      <x:c r="H24" s="42" t="str">
        <x:v>17, 18</x:v>
      </x:c>
      <x:c r="I24" s="42" t="str">
        <x:v>16</x:v>
      </x:c>
      <x:c r="J24" s="63" t="str">
        <x:f>IF(AND(H24="",I24=""),"None",IF(I24="","Hard","Mixed"))</x:f>
        <x:v>Mixed</x:v>
      </x:c>
      <x:c r="K24" s="63" t="str">
        <x:v>Level 3 — Apply/Implement</x:v>
      </x:c>
      <x:c r="L24" s="63" t="str">
        <x:v>Hard</x:v>
      </x:c>
      <x:c r="M24" s="42" t="str">
        <x:v>Run representative queries, measure retrieval quality, and explain or correct one failure</x:v>
      </x:c>
      <x:c r="N24" s="42" t="str">
        <x:v>Conceptual; Procedural</x:v>
      </x:c>
      <x:c r="O24" s="42" t="str">
        <x:v>Build semantic search and test representative queries</x:v>
      </x:c>
      <x:c r="P24" s="43" t="str">
        <x:v>https://docs.aws.amazon.com/aws-certification/latest/ai-professional-01/ai-professional-01-domain1.html</x:v>
      </x:c>
    </x:row>
    <x:row r="25" ht="42" customHeight="1">
      <x:c r="A25" s="57" t="n">
        <x:v>20</x:v>
      </x:c>
      <x:c r="B25" s="42" t="str">
        <x:v>Basic Retrieval-Augmented Generation</x:v>
      </x:c>
      <x:c r="C25" s="63" t="n">
        <x:v>1</x:v>
      </x:c>
      <x:c r="D25" s="42" t="str">
        <x:v>Layer 1 — Data and RAG foundations</x:v>
      </x:c>
      <x:c r="E25" s="42" t="str">
        <x:v>Official skill-derived</x:v>
      </x:c>
      <x:c r="F25" s="42" t="str">
        <x:v>1.4.1; 1.5.3</x:v>
      </x:c>
      <x:c r="G25" s="42" t="str">
        <x:v>1.4 Design and implement vector store solutions; 1.5 Design retrieval mechanisms for FM augmentation</x:v>
      </x:c>
      <x:c r="H25" s="42" t="str">
        <x:v>8, 9, 10, 13, 15, 19</x:v>
      </x:c>
      <x:c r="I25" s="42" t="str">
        <x:v>6, 16</x:v>
      </x:c>
      <x:c r="J25" s="63" t="str">
        <x:f>IF(AND(H25="",I25=""),"None",IF(I25="","Hard","Mixed"))</x:f>
        <x:v>Mixed</x:v>
      </x:c>
      <x:c r="K25" s="63" t="str">
        <x:v>Level 3 — Apply/Implement</x:v>
      </x:c>
      <x:c r="L25" s="63" t="str">
        <x:v>Hard</x:v>
      </x:c>
      <x:c r="M25" s="42" t="str">
        <x:v>Run representative queries, measure retrieval quality, and explain or correct one failure</x:v>
      </x:c>
      <x:c r="N25" s="42" t="str">
        <x:v>Conceptual; Procedural; Strategic</x:v>
      </x:c>
      <x:c r="O25" s="42" t="str">
        <x:v>End-to-end basic RAG mini-project</x:v>
      </x:c>
      <x:c r="P25" s="43" t="str">
        <x:v>https://docs.aws.amazon.com/aws-certification/latest/ai-professional-01/ai-professional-01-domain1.html</x:v>
      </x:c>
    </x:row>
    <x:row r="26" ht="42" customHeight="1">
      <x:c r="A26" s="57" t="n">
        <x:v>21</x:v>
      </x:c>
      <x:c r="B26" s="42" t="str">
        <x:v>Hybrid search and custom scoring</x:v>
      </x:c>
      <x:c r="C26" s="63" t="n">
        <x:v>1</x:v>
      </x:c>
      <x:c r="D26" s="42" t="str">
        <x:v>Layer 1 — Data and RAG foundations</x:v>
      </x:c>
      <x:c r="E26" s="42" t="str">
        <x:v>Official skill-derived</x:v>
      </x:c>
      <x:c r="F26" s="42" t="str">
        <x:v>1.5.4; 4.2.2</x:v>
      </x:c>
      <x:c r="G26" s="42" t="str">
        <x:v>1.5 Design retrieval mechanisms for FM augmentation; 4.2 Optimize application performance</x:v>
      </x:c>
      <x:c r="H26" s="42" t="str">
        <x:v>19, 20</x:v>
      </x:c>
      <x:c r="I26" s="42" t="str">
        <x:v>16</x:v>
      </x:c>
      <x:c r="J26" s="63" t="str">
        <x:f>IF(AND(H26="",I26=""),"None",IF(I26="","Hard","Mixed"))</x:f>
        <x:v>Mixed</x:v>
      </x:c>
      <x:c r="K26" s="63" t="str">
        <x:v>Level 4 — Select/Diagnose</x:v>
      </x:c>
      <x:c r="L26" s="63" t="str">
        <x:v>Hard</x:v>
      </x:c>
      <x:c r="M26" s="42" t="str">
        <x:v>Complete an independent hands-on task and explain the key implementation decisions</x:v>
      </x:c>
      <x:c r="N26" s="42" t="str">
        <x:v>Procedural; Causal; Conditional</x:v>
      </x:c>
      <x:c r="O26" s="42" t="str">
        <x:v>Keyword, vector, and hybrid retrieval bake-off</x:v>
      </x:c>
      <x:c r="P26" s="43" t="str">
        <x:v>https://docs.aws.amazon.com/aws-certification/latest/ai-professional-01/ai-professional-01.html</x:v>
      </x:c>
    </x:row>
    <x:row r="27" ht="42" customHeight="1">
      <x:c r="A27" s="57" t="n">
        <x:v>22</x:v>
      </x:c>
      <x:c r="B27" s="42" t="str">
        <x:v>Reranking</x:v>
      </x:c>
      <x:c r="C27" s="63" t="n">
        <x:v>1</x:v>
      </x:c>
      <x:c r="D27" s="42" t="str">
        <x:v>Layer 1 — Data and RAG foundations</x:v>
      </x:c>
      <x:c r="E27" s="42" t="str">
        <x:v>Official skill-derived</x:v>
      </x:c>
      <x:c r="F27" s="42" t="str">
        <x:v>1.5.4</x:v>
      </x:c>
      <x:c r="G27" s="42" t="str">
        <x:v>1.5 Design retrieval mechanisms for FM augmentation</x:v>
      </x:c>
      <x:c r="H27" s="42" t="str">
        <x:v>21</x:v>
      </x:c>
      <x:c r="I27" s="42" t="str">
        <x:v>18</x:v>
      </x:c>
      <x:c r="J27" s="63" t="str">
        <x:f>IF(AND(H27="",I27=""),"None",IF(I27="","Hard","Mixed"))</x:f>
        <x:v>Mixed</x:v>
      </x:c>
      <x:c r="K27" s="63" t="str">
        <x:v>Level 3 — Apply/Implement</x:v>
      </x:c>
      <x:c r="L27" s="63" t="str">
        <x:v>Soft</x:v>
      </x:c>
      <x:c r="M27" s="42" t="str">
        <x:v>Run representative queries, measure retrieval quality, and explain or correct one failure</x:v>
      </x:c>
      <x:c r="N27" s="42" t="str">
        <x:v>Procedural; Causal; Conditional</x:v>
      </x:c>
      <x:c r="O27" s="42" t="str">
        <x:v>Reranking experiment using relevance metrics</x:v>
      </x:c>
      <x:c r="P27" s="43" t="str">
        <x:v>https://docs.aws.amazon.com/aws-certification/latest/ai-professional-01/ai-professional-01-domain1.html</x:v>
      </x:c>
    </x:row>
    <x:row r="28" ht="42" customHeight="1">
      <x:c r="A28" s="57" t="n">
        <x:v>23</x:v>
      </x:c>
      <x:c r="B28" s="42" t="str">
        <x:v>Query expansion, decomposition, and transformation</x:v>
      </x:c>
      <x:c r="C28" s="63" t="n">
        <x:v>1</x:v>
      </x:c>
      <x:c r="D28" s="42" t="str">
        <x:v>Layer 1 — Data and RAG foundations</x:v>
      </x:c>
      <x:c r="E28" s="42" t="str">
        <x:v>Official skill-derived</x:v>
      </x:c>
      <x:c r="F28" s="42" t="str">
        <x:v>1.5.5</x:v>
      </x:c>
      <x:c r="G28" s="42" t="str">
        <x:v>1.5 Design retrieval mechanisms for FM augmentation</x:v>
      </x:c>
      <x:c r="H28" s="42" t="str">
        <x:v>9, 19, 20</x:v>
      </x:c>
      <x:c r="I28" s="42" t="str"/>
      <x:c r="J28" s="63" t="str">
        <x:f>IF(AND(H28="",I28=""),"None",IF(I28="","Hard","Mixed"))</x:f>
        <x:v>Hard</x:v>
      </x:c>
      <x:c r="K28" s="63" t="str">
        <x:v>Level 4 — Select/Diagnose</x:v>
      </x:c>
      <x:c r="L28" s="63" t="str">
        <x:v>Hard</x:v>
      </x:c>
      <x:c r="M28" s="42" t="str">
        <x:v>Complete an independent hands-on task and explain the key implementation decisions</x:v>
      </x:c>
      <x:c r="N28" s="42" t="str">
        <x:v>Conceptual; Procedural; Causal</x:v>
      </x:c>
      <x:c r="O28" s="42" t="str">
        <x:v>Query expansion and decomposition laboratory</x:v>
      </x:c>
      <x:c r="P28" s="43" t="str">
        <x:v>https://docs.aws.amazon.com/aws-certification/latest/ai-professional-01/ai-professional-01-domain1.html</x:v>
      </x:c>
    </x:row>
    <x:row r="29" ht="42" customHeight="1">
      <x:c r="A29" s="57" t="n">
        <x:v>24</x:v>
      </x:c>
      <x:c r="B29" s="42" t="str">
        <x:v>Vector-store ingestion, synchronization, refresh, and maintenance</x:v>
      </x:c>
      <x:c r="C29" s="63" t="n">
        <x:v>1</x:v>
      </x:c>
      <x:c r="D29" s="42" t="str">
        <x:v>Layer 1 — Data and RAG foundations</x:v>
      </x:c>
      <x:c r="E29" s="42" t="str">
        <x:v>Official skill-derived</x:v>
      </x:c>
      <x:c r="F29" s="42" t="str">
        <x:v>1.4.4; 1.4.5</x:v>
      </x:c>
      <x:c r="G29" s="42" t="str">
        <x:v>1.4 Design and implement vector store solutions</x:v>
      </x:c>
      <x:c r="H29" s="42" t="str">
        <x:v>11, 17, 20</x:v>
      </x:c>
      <x:c r="I29" s="42" t="str">
        <x:v>16</x:v>
      </x:c>
      <x:c r="J29" s="63" t="str">
        <x:f>IF(AND(H29="",I29=""),"None",IF(I29="","Hard","Mixed"))</x:f>
        <x:v>Mixed</x:v>
      </x:c>
      <x:c r="K29" s="63" t="str">
        <x:v>Level 3 — Apply/Implement</x:v>
      </x:c>
      <x:c r="L29" s="63" t="str">
        <x:v>Hard</x:v>
      </x:c>
      <x:c r="M29" s="42" t="str">
        <x:v>Run representative queries, measure retrieval quality, and explain or correct one failure</x:v>
      </x:c>
      <x:c r="N29" s="42" t="str">
        <x:v>Procedural; Causal; Strategic; Embedded</x:v>
      </x:c>
      <x:c r="O29" s="42" t="str">
        <x:v>Change-detection and synchronization laboratory</x:v>
      </x:c>
      <x:c r="P29" s="43" t="str">
        <x:v>https://docs.aws.amazon.com/aws-certification/latest/ai-professional-01/ai-professional-01-domain1.html</x:v>
      </x:c>
    </x:row>
    <x:row r="30" ht="42" customHeight="1">
      <x:c r="A30" s="57" t="n">
        <x:v>25</x:v>
      </x:c>
      <x:c r="B30" s="42" t="str">
        <x:v>Retrieval APIs, function interfaces, and MCP access</x:v>
      </x:c>
      <x:c r="C30" s="63" t="n">
        <x:v>1</x:v>
      </x:c>
      <x:c r="D30" s="42" t="str">
        <x:v>Layer 1 — Data and RAG foundations</x:v>
      </x:c>
      <x:c r="E30" s="42" t="str">
        <x:v>Official skill-derived</x:v>
      </x:c>
      <x:c r="F30" s="42" t="str">
        <x:v>1.5.6</x:v>
      </x:c>
      <x:c r="G30" s="42" t="str">
        <x:v>1.5 Design retrieval mechanisms for FM augmentation</x:v>
      </x:c>
      <x:c r="H30" s="42" t="str">
        <x:v>4, 19, 20</x:v>
      </x:c>
      <x:c r="I30" s="42" t="str">
        <x:v>6</x:v>
      </x:c>
      <x:c r="J30" s="63" t="str">
        <x:f>IF(AND(H30="",I30=""),"None",IF(I30="","Hard","Mixed"))</x:f>
        <x:v>Mixed</x:v>
      </x:c>
      <x:c r="K30" s="63" t="str">
        <x:v>Level 3 — Apply/Implement</x:v>
      </x:c>
      <x:c r="L30" s="63" t="str">
        <x:v>Hard</x:v>
      </x:c>
      <x:c r="M30" s="42" t="str">
        <x:v>Complete an agent/tool task, inspect its trace, and handle an injected tool or control failure</x:v>
      </x:c>
      <x:c r="N30" s="42" t="str">
        <x:v>Conceptual; Procedural; Embedded</x:v>
      </x:c>
      <x:c r="O30" s="42" t="str">
        <x:v>Function-calling and MCP retrieval-interface laboratory</x:v>
      </x:c>
      <x:c r="P30" s="43" t="str">
        <x:v>https://docs.aws.amazon.com/aws-certification/latest/ai-professional-01/ai-professional-01-domain1.html</x:v>
      </x:c>
    </x:row>
    <x:row r="31" ht="42" customHeight="1">
      <x:c r="A31" s="57" t="n">
        <x:v>26</x:v>
      </x:c>
      <x:c r="B31" s="42" t="str">
        <x:v>RAG quality evaluation and retrieval troubleshooting</x:v>
      </x:c>
      <x:c r="C31" s="63" t="n">
        <x:v>1</x:v>
      </x:c>
      <x:c r="D31" s="42" t="str">
        <x:v>Layer 1 — Data and RAG foundations</x:v>
      </x:c>
      <x:c r="E31" s="42" t="str">
        <x:v>Official skill-derived</x:v>
      </x:c>
      <x:c r="F31" s="42" t="str">
        <x:v>5.1.6; 5.2.4</x:v>
      </x:c>
      <x:c r="G31" s="42" t="str">
        <x:v>5.1 Implement evaluation systems for GenAI; 5.2 Troubleshoot GenAI applications</x:v>
      </x:c>
      <x:c r="H31" s="42" t="str">
        <x:v>10, 20, 21, 22, 23, 24, 25</x:v>
      </x:c>
      <x:c r="I31" s="42" t="str"/>
      <x:c r="J31" s="63" t="str">
        <x:f>IF(AND(H31="",I31=""),"None",IF(I31="","Hard","Mixed"))</x:f>
        <x:v>Hard</x:v>
      </x:c>
      <x:c r="K31" s="63" t="str">
        <x:v>Level 4 — Select/Diagnose</x:v>
      </x:c>
      <x:c r="L31" s="63" t="str">
        <x:v>Hard</x:v>
      </x:c>
      <x:c r="M31" s="42" t="str">
        <x:v>Broken-system exercise: isolate the first failing stage, correct it, and add a regression check</x:v>
      </x:c>
      <x:c r="N31" s="42" t="str">
        <x:v>Diagnostic/Causal; Procedural; Tacit</x:v>
      </x:c>
      <x:c r="O31" s="42" t="str">
        <x:v>Broken-RAG laboratory and root-cause analysis</x:v>
      </x:c>
      <x:c r="P31" s="43" t="str">
        <x:v>https://docs.aws.amazon.com/aws-certification/latest/ai-professional-01/ai-professional-01-domain5.html</x:v>
      </x:c>
    </x:row>
    <x:row r="32" ht="42" customHeight="1">
      <x:c r="A32" s="57" t="n">
        <x:v>27</x:v>
      </x:c>
      <x:c r="B32" s="42" t="str">
        <x:v>Conversation context, history, intent, and state management</x:v>
      </x:c>
      <x:c r="C32" s="63" t="n">
        <x:v>2</x:v>
      </x:c>
      <x:c r="D32" s="42" t="str">
        <x:v>Layer 2 — Prompt systems and application interaction</x:v>
      </x:c>
      <x:c r="E32" s="42" t="str">
        <x:v>Official skill-derived</x:v>
      </x:c>
      <x:c r="F32" s="42" t="str">
        <x:v>1.6.2</x:v>
      </x:c>
      <x:c r="G32" s="42" t="str">
        <x:v>1.6 Implement prompt engineering strategies and governance for FM interactions</x:v>
      </x:c>
      <x:c r="H32" s="42" t="str">
        <x:v>8, 9</x:v>
      </x:c>
      <x:c r="I32" s="42" t="str"/>
      <x:c r="J32" s="63" t="str">
        <x:f>IF(AND(H32="",I32=""),"None",IF(I32="","Hard","Mixed"))</x:f>
        <x:v>Hard</x:v>
      </x:c>
      <x:c r="K32" s="63" t="str">
        <x:v>Level 3 — Apply/Implement</x:v>
      </x:c>
      <x:c r="L32" s="63" t="str">
        <x:v>Hard</x:v>
      </x:c>
      <x:c r="M32" s="42" t="str">
        <x:v>Complete an independent hands-on task and explain the key implementation decisions</x:v>
      </x:c>
      <x:c r="N32" s="42" t="str">
        <x:v>Conceptual; Procedural; Conditional</x:v>
      </x:c>
      <x:c r="O32" s="42" t="str">
        <x:v>Stateful-chatbot lab with ambiguous-intent cases</x:v>
      </x:c>
      <x:c r="P32" s="43" t="str">
        <x:v>https://docs.aws.amazon.com/aws-certification/latest/ai-professional-01/ai-professional-01-domain1.html</x:v>
      </x:c>
    </x:row>
    <x:row r="33" ht="42" customHeight="1">
      <x:c r="A33" s="57" t="n">
        <x:v>28</x:v>
      </x:c>
      <x:c r="B33" s="42" t="str">
        <x:v>Advanced prompt engineering and iterative refinement</x:v>
      </x:c>
      <x:c r="C33" s="63" t="n">
        <x:v>2</x:v>
      </x:c>
      <x:c r="D33" s="42" t="str">
        <x:v>Layer 2 — Prompt systems and application interaction</x:v>
      </x:c>
      <x:c r="E33" s="42" t="str">
        <x:v>Official skill-derived</x:v>
      </x:c>
      <x:c r="F33" s="42" t="str">
        <x:v>1.6.5</x:v>
      </x:c>
      <x:c r="G33" s="42" t="str">
        <x:v>1.6 Implement prompt engineering strategies and governance for FM interactions</x:v>
      </x:c>
      <x:c r="H33" s="42" t="str">
        <x:v>9, 10, 27</x:v>
      </x:c>
      <x:c r="I33" s="42" t="str">
        <x:v>20</x:v>
      </x:c>
      <x:c r="J33" s="63" t="str">
        <x:f>IF(AND(H33="",I33=""),"None",IF(I33="","Hard","Mixed"))</x:f>
        <x:v>Mixed</x:v>
      </x:c>
      <x:c r="K33" s="63" t="str">
        <x:v>Level 3 — Apply/Implement</x:v>
      </x:c>
      <x:c r="L33" s="63" t="str">
        <x:v>Hard</x:v>
      </x:c>
      <x:c r="M33" s="42" t="str">
        <x:v>Improve a prompt against a fixed test set and demonstrate that no critical regression was introduced</x:v>
      </x:c>
      <x:c r="N33" s="42" t="str">
        <x:v>Procedural; Causal; Tacit</x:v>
      </x:c>
      <x:c r="O33" s="42" t="str">
        <x:v>Iterative prompt experiment and error-analysis journal</x:v>
      </x:c>
      <x:c r="P33" s="43" t="str">
        <x:v>https://docs.aws.amazon.com/aws-certification/latest/ai-professional-01/ai-professional-01-domain1.html</x:v>
      </x:c>
    </x:row>
    <x:row r="34" ht="42" customHeight="1">
      <x:c r="A34" s="57" t="n">
        <x:v>29</x:v>
      </x:c>
      <x:c r="B34" s="42" t="str">
        <x:v>Prompt versioning, repositories, approvals, and governance</x:v>
      </x:c>
      <x:c r="C34" s="63" t="n">
        <x:v>2</x:v>
      </x:c>
      <x:c r="D34" s="42" t="str">
        <x:v>Layer 2 — Prompt systems and application interaction</x:v>
      </x:c>
      <x:c r="E34" s="42" t="str">
        <x:v>Official skill-derived</x:v>
      </x:c>
      <x:c r="F34" s="42" t="str">
        <x:v>1.6.3</x:v>
      </x:c>
      <x:c r="G34" s="42" t="str">
        <x:v>1.6 Implement prompt engineering strategies and governance for FM interactions</x:v>
      </x:c>
      <x:c r="H34" s="42" t="str">
        <x:v>5, 28</x:v>
      </x:c>
      <x:c r="I34" s="42" t="str">
        <x:v>6</x:v>
      </x:c>
      <x:c r="J34" s="63" t="str">
        <x:f>IF(AND(H34="",I34=""),"None",IF(I34="","Hard","Mixed"))</x:f>
        <x:v>Mixed</x:v>
      </x:c>
      <x:c r="K34" s="63" t="str">
        <x:v>Level 3 — Apply/Implement</x:v>
      </x:c>
      <x:c r="L34" s="63" t="str">
        <x:v>Hard</x:v>
      </x:c>
      <x:c r="M34" s="42" t="str">
        <x:v>Map requirements to controls, owners, evidence, and escalation; justify unresolved risks</x:v>
      </x:c>
      <x:c r="N34" s="42" t="str">
        <x:v>Procedural; Normative; Institutional; Embedded</x:v>
      </x:c>
      <x:c r="O34" s="42" t="str">
        <x:v>Prompt versioning, approval, and audit workflow laboratory</x:v>
      </x:c>
      <x:c r="P34" s="43" t="str">
        <x:v>https://docs.aws.amazon.com/aws-certification/latest/ai-professional-01/ai-professional-01-domain1.html</x:v>
      </x:c>
    </x:row>
    <x:row r="35" ht="42" customHeight="1">
      <x:c r="A35" s="57" t="n">
        <x:v>30</x:v>
      </x:c>
      <x:c r="B35" s="42" t="str">
        <x:v>Prompt regression testing and quality assurance</x:v>
      </x:c>
      <x:c r="C35" s="63" t="n">
        <x:v>2</x:v>
      </x:c>
      <x:c r="D35" s="42" t="str">
        <x:v>Layer 2 — Prompt systems and application interaction</x:v>
      </x:c>
      <x:c r="E35" s="42" t="str">
        <x:v>Official skill-derived</x:v>
      </x:c>
      <x:c r="F35" s="42" t="str">
        <x:v>1.6.4; 5.1.4</x:v>
      </x:c>
      <x:c r="G35" s="42" t="str">
        <x:v>1.6 Implement prompt engineering strategies and governance for FM interactions; 5.1 Implement evaluation systems for GenAI</x:v>
      </x:c>
      <x:c r="H35" s="42" t="str">
        <x:v>10, 28, 29</x:v>
      </x:c>
      <x:c r="I35" s="42" t="str">
        <x:v>26</x:v>
      </x:c>
      <x:c r="J35" s="63" t="str">
        <x:f>IF(AND(H35="",I35=""),"None",IF(I35="","Hard","Mixed"))</x:f>
        <x:v>Mixed</x:v>
      </x:c>
      <x:c r="K35" s="63" t="str">
        <x:v>Level 3 — Apply/Implement</x:v>
      </x:c>
      <x:c r="L35" s="63" t="str">
        <x:v>Hard</x:v>
      </x:c>
      <x:c r="M35" s="42" t="str">
        <x:v>Improve a prompt against a fixed test set and demonstrate that no critical regression was introduced</x:v>
      </x:c>
      <x:c r="N35" s="42" t="str">
        <x:v>Procedural; Causal; Strategic</x:v>
      </x:c>
      <x:c r="O35" s="42" t="str">
        <x:v>Golden-set prompt regression suite</x:v>
      </x:c>
      <x:c r="P35" s="43" t="str">
        <x:v>https://docs.aws.amazon.com/aws-certification/latest/ai-professional-01/ai-professional-01.html</x:v>
      </x:c>
    </x:row>
    <x:row r="36" ht="42" customHeight="1">
      <x:c r="A36" s="57" t="n">
        <x:v>31</x:v>
      </x:c>
      <x:c r="B36" s="42" t="str">
        <x:v>Prompt chaining, branching, and Bedrock Prompt Flows</x:v>
      </x:c>
      <x:c r="C36" s="63" t="n">
        <x:v>2</x:v>
      </x:c>
      <x:c r="D36" s="42" t="str">
        <x:v>Layer 2 — Prompt systems and application interaction</x:v>
      </x:c>
      <x:c r="E36" s="42" t="str">
        <x:v>Official skill-derived</x:v>
      </x:c>
      <x:c r="F36" s="42" t="str">
        <x:v>1.6.6</x:v>
      </x:c>
      <x:c r="G36" s="42" t="str">
        <x:v>1.6 Implement prompt engineering strategies and governance for FM interactions</x:v>
      </x:c>
      <x:c r="H36" s="42" t="str">
        <x:v>28, 29, 30</x:v>
      </x:c>
      <x:c r="I36" s="42" t="str">
        <x:v>20</x:v>
      </x:c>
      <x:c r="J36" s="63" t="str">
        <x:f>IF(AND(H36="",I36=""),"None",IF(I36="","Hard","Mixed"))</x:f>
        <x:v>Mixed</x:v>
      </x:c>
      <x:c r="K36" s="63" t="str">
        <x:v>Level 3 — Apply/Implement</x:v>
      </x:c>
      <x:c r="L36" s="63" t="str">
        <x:v>Hard</x:v>
      </x:c>
      <x:c r="M36" s="42" t="str">
        <x:v>Improve a prompt against a fixed test set and demonstrate that no critical regression was introduced</x:v>
      </x:c>
      <x:c r="N36" s="42" t="str">
        <x:v>Conceptual; Procedural; Strategic; Embedded</x:v>
      </x:c>
      <x:c r="O36" s="42" t="str">
        <x:v>Build and test a branching Bedrock Prompt Flow</x:v>
      </x:c>
      <x:c r="P36" s="43" t="str">
        <x:v>https://docs.aws.amazon.com/aws-certification/latest/ai-professional-01/ai-professional-01-domain1.html</x:v>
      </x:c>
    </x:row>
    <x:row r="37" ht="42" customHeight="1">
      <x:c r="A37" s="57" t="n">
        <x:v>32</x:v>
      </x:c>
      <x:c r="B37" s="42" t="str">
        <x:v>Synchronous FM API integration</x:v>
      </x:c>
      <x:c r="C37" s="63" t="n">
        <x:v>2</x:v>
      </x:c>
      <x:c r="D37" s="42" t="str">
        <x:v>Layer 2 — Prompt systems and application interaction</x:v>
      </x:c>
      <x:c r="E37" s="42" t="str">
        <x:v>Official skill-derived</x:v>
      </x:c>
      <x:c r="F37" s="42" t="str">
        <x:v>2.4.1</x:v>
      </x:c>
      <x:c r="G37" s="42" t="str">
        <x:v>2.4 Implement FM API integrations</x:v>
      </x:c>
      <x:c r="H37" s="42" t="str">
        <x:v>4, 5, 8</x:v>
      </x:c>
      <x:c r="I37" s="42" t="str"/>
      <x:c r="J37" s="63" t="str">
        <x:f>IF(AND(H37="",I37=""),"None",IF(I37="","Hard","Mixed"))</x:f>
        <x:v>Hard</x:v>
      </x:c>
      <x:c r="K37" s="63" t="str">
        <x:v>Level 3 — Apply/Implement</x:v>
      </x:c>
      <x:c r="L37" s="63" t="str">
        <x:v>Hard</x:v>
      </x:c>
      <x:c r="M37" s="42" t="str">
        <x:v>Complete an independent integration task and handle one injected boundary or resilience failure</x:v>
      </x:c>
      <x:c r="N37" s="42" t="str">
        <x:v>Procedural; Embedded</x:v>
      </x:c>
      <x:c r="O37" s="42" t="str">
        <x:v>Synchronous FM API implementation laboratory</x:v>
      </x:c>
      <x:c r="P37" s="43" t="str">
        <x:v>https://docs.aws.amazon.com/aws-certification/latest/ai-professional-01/ai-professional-01-domain2.html</x:v>
      </x:c>
    </x:row>
    <x:row r="38" ht="42" customHeight="1">
      <x:c r="A38" s="57" t="n">
        <x:v>33</x:v>
      </x:c>
      <x:c r="B38" s="42" t="str">
        <x:v>Asynchronous FM processing</x:v>
      </x:c>
      <x:c r="C38" s="63" t="n">
        <x:v>2</x:v>
      </x:c>
      <x:c r="D38" s="42" t="str">
        <x:v>Layer 2 — Prompt systems and application interaction</x:v>
      </x:c>
      <x:c r="E38" s="42" t="str">
        <x:v>Official skill-derived</x:v>
      </x:c>
      <x:c r="F38" s="42" t="str">
        <x:v>2.4.1</x:v>
      </x:c>
      <x:c r="G38" s="42" t="str">
        <x:v>2.4 Implement FM API integrations</x:v>
      </x:c>
      <x:c r="H38" s="42" t="str">
        <x:v>4, 8, 32</x:v>
      </x:c>
      <x:c r="I38" s="42" t="str"/>
      <x:c r="J38" s="63" t="str">
        <x:f>IF(AND(H38="",I38=""),"None",IF(I38="","Hard","Mixed"))</x:f>
        <x:v>Hard</x:v>
      </x:c>
      <x:c r="K38" s="63" t="str">
        <x:v>Level 3 — Apply/Implement</x:v>
      </x:c>
      <x:c r="L38" s="63" t="str">
        <x:v>Hard</x:v>
      </x:c>
      <x:c r="M38" s="42" t="str">
        <x:v>Complete an independent integration task and handle one injected boundary or resilience failure</x:v>
      </x:c>
      <x:c r="N38" s="42" t="str">
        <x:v>Conceptual; Procedural; Conditional; Embedded</x:v>
      </x:c>
      <x:c r="O38" s="42" t="str">
        <x:v>Asynchronous queue and workflow laboratory</x:v>
      </x:c>
      <x:c r="P38" s="43" t="str">
        <x:v>https://docs.aws.amazon.com/aws-certification/latest/ai-professional-01/ai-professional-01-domain2.html</x:v>
      </x:c>
    </x:row>
    <x:row r="39" ht="42" customHeight="1">
      <x:c r="A39" s="57" t="n">
        <x:v>34</x:v>
      </x:c>
      <x:c r="B39" s="42" t="str">
        <x:v>Streaming responses, WebSockets, and server-sent events</x:v>
      </x:c>
      <x:c r="C39" s="63" t="n">
        <x:v>2</x:v>
      </x:c>
      <x:c r="D39" s="42" t="str">
        <x:v>Layer 2 — Prompt systems and application interaction</x:v>
      </x:c>
      <x:c r="E39" s="42" t="str">
        <x:v>Official skill-derived</x:v>
      </x:c>
      <x:c r="F39" s="42" t="str">
        <x:v>2.4.2</x:v>
      </x:c>
      <x:c r="G39" s="42" t="str">
        <x:v>2.4 Implement FM API integrations</x:v>
      </x:c>
      <x:c r="H39" s="42" t="str">
        <x:v>4, 8, 32</x:v>
      </x:c>
      <x:c r="I39" s="42" t="str"/>
      <x:c r="J39" s="63" t="str">
        <x:f>IF(AND(H39="",I39=""),"None",IF(I39="","Hard","Mixed"))</x:f>
        <x:v>Hard</x:v>
      </x:c>
      <x:c r="K39" s="63" t="str">
        <x:v>Level 3 — Apply/Implement</x:v>
      </x:c>
      <x:c r="L39" s="63" t="str">
        <x:v>Hard</x:v>
      </x:c>
      <x:c r="M39" s="42" t="str">
        <x:v>Complete an independent integration task and handle one injected boundary or resilience failure</x:v>
      </x:c>
      <x:c r="N39" s="42" t="str">
        <x:v>Procedural; Causal; Embedded</x:v>
      </x:c>
      <x:c r="O39" s="42" t="str">
        <x:v>Streaming API/UI laboratory with interruption testing</x:v>
      </x:c>
      <x:c r="P39" s="43" t="str">
        <x:v>https://docs.aws.amazon.com/aws-certification/latest/ai-professional-01/ai-professional-01-domain2.html</x:v>
      </x:c>
    </x:row>
    <x:row r="40" ht="42" customHeight="1">
      <x:c r="A40" s="57" t="n">
        <x:v>35</x:v>
      </x:c>
      <x:c r="B40" s="42" t="str">
        <x:v>Token limits, request validation, and response handling</x:v>
      </x:c>
      <x:c r="C40" s="63" t="n">
        <x:v>2</x:v>
      </x:c>
      <x:c r="D40" s="42" t="str">
        <x:v>Layer 2 — Prompt systems and application interaction</x:v>
      </x:c>
      <x:c r="E40" s="42" t="str">
        <x:v>Official skill-derived</x:v>
      </x:c>
      <x:c r="F40" s="42" t="str">
        <x:v>1.3.3; 2.5.1; 5.2.1</x:v>
      </x:c>
      <x:c r="G40" s="42" t="str">
        <x:v>1.3 Implement data validation and processing pipelines for FM consumption; 2.5 Implement application integration patterns and development tools; 5.2 Troubleshoot GenAI applications</x:v>
      </x:c>
      <x:c r="H40" s="42" t="str">
        <x:v>2, 8, 32</x:v>
      </x:c>
      <x:c r="I40" s="42" t="str"/>
      <x:c r="J40" s="63" t="str">
        <x:f>IF(AND(H40="",I40=""),"None",IF(I40="","Hard","Mixed"))</x:f>
        <x:v>Hard</x:v>
      </x:c>
      <x:c r="K40" s="63" t="str">
        <x:v>Level 3 — Apply/Implement</x:v>
      </x:c>
      <x:c r="L40" s="63" t="str">
        <x:v>Hard</x:v>
      </x:c>
      <x:c r="M40" s="42" t="str">
        <x:v>Complete an independent integration task and handle one injected boundary or resilience failure</x:v>
      </x:c>
      <x:c r="N40" s="42" t="str">
        <x:v>Declarative; Procedural; Causal</x:v>
      </x:c>
      <x:c r="O40" s="42" t="str">
        <x:v>Token, schema, and request-boundary tests</x:v>
      </x:c>
      <x:c r="P40" s="43" t="str">
        <x:v>https://docs.aws.amazon.com/aws-certification/latest/ai-professional-01/ai-professional-01.html</x:v>
      </x:c>
    </x:row>
    <x:row r="41" ht="42" customHeight="1">
      <x:c r="A41" s="57" t="n">
        <x:v>36</x:v>
      </x:c>
      <x:c r="B41" s="42" t="str">
        <x:v>Retries, exponential backoff, rate limiting, and timeouts</x:v>
      </x:c>
      <x:c r="C41" s="63" t="n">
        <x:v>2</x:v>
      </x:c>
      <x:c r="D41" s="42" t="str">
        <x:v>Layer 2 — Prompt systems and application interaction</x:v>
      </x:c>
      <x:c r="E41" s="42" t="str">
        <x:v>Official skill-derived</x:v>
      </x:c>
      <x:c r="F41" s="42" t="str">
        <x:v>2.4.3; 2.5.1</x:v>
      </x:c>
      <x:c r="G41" s="42" t="str">
        <x:v>2.4 Implement FM API integrations; 2.5 Implement application integration patterns and development tools</x:v>
      </x:c>
      <x:c r="H41" s="42" t="str">
        <x:v>32, 35</x:v>
      </x:c>
      <x:c r="I41" s="42" t="str"/>
      <x:c r="J41" s="63" t="str">
        <x:f>IF(AND(H41="",I41=""),"None",IF(I41="","Hard","Mixed"))</x:f>
        <x:v>Hard</x:v>
      </x:c>
      <x:c r="K41" s="63" t="str">
        <x:v>Level 3 — Apply/Implement</x:v>
      </x:c>
      <x:c r="L41" s="63" t="str">
        <x:v>Hard</x:v>
      </x:c>
      <x:c r="M41" s="42" t="str">
        <x:v>Complete an independent hands-on task and explain the key implementation decisions</x:v>
      </x:c>
      <x:c r="N41" s="42" t="str">
        <x:v>Procedural; Causal; Conditional</x:v>
      </x:c>
      <x:c r="O41" s="42" t="str">
        <x:v>Throttling simulation and retry/backoff laboratory</x:v>
      </x:c>
      <x:c r="P41" s="43" t="str">
        <x:v>https://docs.aws.amazon.com/aws-certification/latest/ai-professional-01/ai-professional-01-domain2.html</x:v>
      </x:c>
    </x:row>
    <x:row r="42" ht="42" customHeight="1">
      <x:c r="A42" s="57" t="n">
        <x:v>37</x:v>
      </x:c>
      <x:c r="B42" s="42" t="str">
        <x:v>Fallbacks, circuit breakers, and graceful degradation</x:v>
      </x:c>
      <x:c r="C42" s="63" t="n">
        <x:v>2</x:v>
      </x:c>
      <x:c r="D42" s="42" t="str">
        <x:v>Layer 2 — Prompt systems and application interaction</x:v>
      </x:c>
      <x:c r="E42" s="42" t="str">
        <x:v>Official skill-derived</x:v>
      </x:c>
      <x:c r="F42" s="42" t="str">
        <x:v>1.2.3; 2.4.3</x:v>
      </x:c>
      <x:c r="G42" s="42" t="str">
        <x:v>1.2 Select and configure FMs; 2.4 Implement FM API integrations</x:v>
      </x:c>
      <x:c r="H42" s="42" t="str">
        <x:v>36</x:v>
      </x:c>
      <x:c r="I42" s="42" t="str"/>
      <x:c r="J42" s="63" t="str">
        <x:f>IF(AND(H42="",I42=""),"None",IF(I42="","Hard","Mixed"))</x:f>
        <x:v>Hard</x:v>
      </x:c>
      <x:c r="K42" s="63" t="str">
        <x:v>Level 4 — Select/Diagnose</x:v>
      </x:c>
      <x:c r="L42" s="63" t="str">
        <x:v>Hard</x:v>
      </x:c>
      <x:c r="M42" s="42" t="str">
        <x:v>Complete an independent hands-on task and explain the key implementation decisions</x:v>
      </x:c>
      <x:c r="N42" s="42" t="str">
        <x:v>Conceptual; Procedural; Causal; Strategic</x:v>
      </x:c>
      <x:c r="O42" s="42" t="str">
        <x:v>Failure injection and fallback-design exercise</x:v>
      </x:c>
      <x:c r="P42" s="43" t="str">
        <x:v>https://docs.aws.amazon.com/aws-certification/latest/ai-professional-01/ai-professional-01.html</x:v>
      </x:c>
    </x:row>
    <x:row r="43" ht="42" customHeight="1">
      <x:c r="A43" s="57" t="n">
        <x:v>38</x:v>
      </x:c>
      <x:c r="B43" s="42" t="str">
        <x:v>Distributed tracing and FM API observability</x:v>
      </x:c>
      <x:c r="C43" s="63" t="n">
        <x:v>2</x:v>
      </x:c>
      <x:c r="D43" s="42" t="str">
        <x:v>Layer 2 — Prompt systems and application interaction</x:v>
      </x:c>
      <x:c r="E43" s="42" t="str">
        <x:v>Official skill-derived</x:v>
      </x:c>
      <x:c r="F43" s="42" t="str">
        <x:v>2.4.3; 2.5.6; 4.3.1</x:v>
      </x:c>
      <x:c r="G43" s="42" t="str">
        <x:v>2.4 Implement FM API integrations; 2.5 Implement application integration patterns and development tools; 4.3 Implement monitoring systems for GenAI applications</x:v>
      </x:c>
      <x:c r="H43" s="42" t="str">
        <x:v>3, 32, 36</x:v>
      </x:c>
      <x:c r="I43" s="42" t="str">
        <x:v>10</x:v>
      </x:c>
      <x:c r="J43" s="63" t="str">
        <x:f>IF(AND(H43="",I43=""),"None",IF(I43="","Hard","Mixed"))</x:f>
        <x:v>Mixed</x:v>
      </x:c>
      <x:c r="K43" s="63" t="str">
        <x:v>Level 3 — Apply/Implement</x:v>
      </x:c>
      <x:c r="L43" s="63" t="str">
        <x:v>Hard</x:v>
      </x:c>
      <x:c r="M43" s="42" t="str">
        <x:v>Instrument the system, detect an injected anomaly, and identify the affected component</x:v>
      </x:c>
      <x:c r="N43" s="42" t="str">
        <x:v>Procedural; Diagnostic/Causal; Embedded</x:v>
      </x:c>
      <x:c r="O43" s="42" t="str">
        <x:v>Distributed-trace implementation and analysis</x:v>
      </x:c>
      <x:c r="P43" s="43" t="str">
        <x:v>https://docs.aws.amazon.com/aws-certification/latest/ai-professional-01/ai-professional-01.html</x:v>
      </x:c>
    </x:row>
    <x:row r="44" ht="42" customHeight="1">
      <x:c r="A44" s="57" t="n">
        <x:v>39</x:v>
      </x:c>
      <x:c r="B44" s="42" t="str">
        <x:v>Detailed model benchmarking and capability evaluation</x:v>
      </x:c>
      <x:c r="C44" s="63" t="n">
        <x:v>3</x:v>
      </x:c>
      <x:c r="D44" s="42" t="str">
        <x:v>Layer 3 — Models, routing, and deployment</x:v>
      </x:c>
      <x:c r="E44" s="42" t="str">
        <x:v>Official skill-derived</x:v>
      </x:c>
      <x:c r="F44" s="42" t="str">
        <x:v>1.2.1; 5.1.2</x:v>
      </x:c>
      <x:c r="G44" s="42" t="str">
        <x:v>1.2 Select and configure FMs; 5.1 Implement evaluation systems for GenAI</x:v>
      </x:c>
      <x:c r="H44" s="42" t="str">
        <x:v>7, 10</x:v>
      </x:c>
      <x:c r="I44" s="42" t="str">
        <x:v>8</x:v>
      </x:c>
      <x:c r="J44" s="63" t="str">
        <x:f>IF(AND(H44="",I44=""),"None",IF(I44="","Hard","Mixed"))</x:f>
        <x:v>Mixed</x:v>
      </x:c>
      <x:c r="K44" s="63" t="str">
        <x:v>Level 4 — Select/Diagnose</x:v>
      </x:c>
      <x:c r="L44" s="63" t="str">
        <x:v>Hard</x:v>
      </x:c>
      <x:c r="M44" s="42" t="str">
        <x:v>Build or apply an evaluation set, interpret results, and make a justified release or model decision</x:v>
      </x:c>
      <x:c r="N44" s="42" t="str">
        <x:v>Declarative; Conceptual; Conditional</x:v>
      </x:c>
      <x:c r="O44" s="42" t="str">
        <x:v>Benchmark design and model scorecard exercise</x:v>
      </x:c>
      <x:c r="P44" s="43" t="str">
        <x:v>https://docs.aws.amazon.com/aws-certification/latest/ai-professional-01/ai-professional-01.html</x:v>
      </x:c>
    </x:row>
    <x:row r="45" ht="42" customHeight="1">
      <x:c r="A45" s="57" t="n">
        <x:v>40</x:v>
      </x:c>
      <x:c r="B45" s="42" t="str">
        <x:v>Cost–quality–latency model-selection trade-offs</x:v>
      </x:c>
      <x:c r="C45" s="63" t="n">
        <x:v>3</x:v>
      </x:c>
      <x:c r="D45" s="42" t="str">
        <x:v>Layer 3 — Models, routing, and deployment</x:v>
      </x:c>
      <x:c r="E45" s="42" t="str">
        <x:v>Official skill-derived</x:v>
      </x:c>
      <x:c r="F45" s="42" t="str">
        <x:v>1.2.1; 2.2.3; 4.1.2; 5.1.2</x:v>
      </x:c>
      <x:c r="G45" s="42" t="str">
        <x:v>1.2 Select and configure FMs; 2.2 Implement model deployment strategies; 4.1 Implement cost optimization and resource efficiency strategies; 5.1 Implement evaluation systems for GenAI</x:v>
      </x:c>
      <x:c r="H45" s="42" t="str">
        <x:v>2, 7, 10, 39</x:v>
      </x:c>
      <x:c r="I45" s="42" t="str"/>
      <x:c r="J45" s="63" t="str">
        <x:f>IF(AND(H45="",I45=""),"None",IF(I45="","Hard","Mixed"))</x:f>
        <x:v>Hard</x:v>
      </x:c>
      <x:c r="K45" s="63" t="str">
        <x:v>Level 4 — Select/Diagnose</x:v>
      </x:c>
      <x:c r="L45" s="63" t="str">
        <x:v>Hard</x:v>
      </x:c>
      <x:c r="M45" s="42" t="str">
        <x:v>Benchmark a baseline, apply one justified change, and explain the measured quality/cost/performance effect</x:v>
      </x:c>
      <x:c r="N45" s="42" t="str">
        <x:v>Causal; Conditional; Strategic</x:v>
      </x:c>
      <x:c r="O45" s="42" t="str">
        <x:v>Quality-cost-latency trade-off scenarios and decision matrix</x:v>
      </x:c>
      <x:c r="P45" s="43" t="str">
        <x:v>https://docs.aws.amazon.com/aws-certification/latest/ai-professional-01/ai-professional-01.html</x:v>
      </x:c>
    </x:row>
    <x:row r="46" ht="42" customHeight="1">
      <x:c r="A46" s="57" t="n">
        <x:v>41</x:v>
      </x:c>
      <x:c r="B46" s="42" t="str">
        <x:v>Static and dynamic model routing</x:v>
      </x:c>
      <x:c r="C46" s="63" t="n">
        <x:v>3</x:v>
      </x:c>
      <x:c r="D46" s="42" t="str">
        <x:v>Layer 3 — Models, routing, and deployment</x:v>
      </x:c>
      <x:c r="E46" s="42" t="str">
        <x:v>Official skill-derived</x:v>
      </x:c>
      <x:c r="F46" s="42" t="str">
        <x:v>1.2.2; 2.4.4</x:v>
      </x:c>
      <x:c r="G46" s="42" t="str">
        <x:v>1.2 Select and configure FMs; 2.4 Implement FM API integrations</x:v>
      </x:c>
      <x:c r="H46" s="42" t="str">
        <x:v>32, 39, 40</x:v>
      </x:c>
      <x:c r="I46" s="42" t="str"/>
      <x:c r="J46" s="63" t="str">
        <x:f>IF(AND(H46="",I46=""),"None",IF(I46="","Hard","Mixed"))</x:f>
        <x:v>Hard</x:v>
      </x:c>
      <x:c r="K46" s="63" t="str">
        <x:v>Level 3 — Apply/Implement</x:v>
      </x:c>
      <x:c r="L46" s="63" t="str">
        <x:v>Hard</x:v>
      </x:c>
      <x:c r="M46" s="42" t="str">
        <x:v>Choose among plausible models or routes using evidence and explain why alternatives are inferior</x:v>
      </x:c>
      <x:c r="N46" s="42" t="str">
        <x:v>Conceptual; Procedural; Conditional; Strategic</x:v>
      </x:c>
      <x:c r="O46" s="42" t="str">
        <x:v>Implement routing policies and solve routing scenarios</x:v>
      </x:c>
      <x:c r="P46" s="43" t="str">
        <x:v>https://docs.aws.amazon.com/aws-certification/latest/ai-professional-01/ai-professional-01.html</x:v>
      </x:c>
    </x:row>
    <x:row r="47" ht="42" customHeight="1">
      <x:c r="A47" s="57" t="n">
        <x:v>42</x:v>
      </x:c>
      <x:c r="B47" s="42" t="str">
        <x:v>Model cascading and specialized-model selection</x:v>
      </x:c>
      <x:c r="C47" s="63" t="n">
        <x:v>3</x:v>
      </x:c>
      <x:c r="D47" s="42" t="str">
        <x:v>Layer 3 — Models, routing, and deployment</x:v>
      </x:c>
      <x:c r="E47" s="42" t="str">
        <x:v>Official skill-derived</x:v>
      </x:c>
      <x:c r="F47" s="42" t="str">
        <x:v>2.1.4; 2.2.3</x:v>
      </x:c>
      <x:c r="G47" s="42" t="str">
        <x:v>2.1 Implement agentic AI solutions and tool integrations; 2.2 Implement model deployment strategies</x:v>
      </x:c>
      <x:c r="H47" s="42" t="str">
        <x:v>40, 41</x:v>
      </x:c>
      <x:c r="I47" s="42" t="str"/>
      <x:c r="J47" s="63" t="str">
        <x:f>IF(AND(H47="",I47=""),"None",IF(I47="","Hard","Mixed"))</x:f>
        <x:v>Hard</x:v>
      </x:c>
      <x:c r="K47" s="63" t="str">
        <x:v>Level 4 — Select/Diagnose</x:v>
      </x:c>
      <x:c r="L47" s="63" t="str">
        <x:v>Soft</x:v>
      </x:c>
      <x:c r="M47" s="42" t="str">
        <x:v>Choose among plausible models or routes using evidence and explain why alternatives are inferior</x:v>
      </x:c>
      <x:c r="N47" s="42" t="str">
        <x:v>Conceptual; Causal; Conditional; Strategic</x:v>
      </x:c>
      <x:c r="O47" s="42" t="str">
        <x:v>Model-cascade experiment and quality-cost comparison</x:v>
      </x:c>
      <x:c r="P47" s="43" t="str">
        <x:v>https://docs.aws.amazon.com/aws-certification/latest/ai-professional-01/ai-professional-01-domain2.html</x:v>
      </x:c>
    </x:row>
    <x:row r="48" ht="42" customHeight="1">
      <x:c r="A48" s="57" t="n">
        <x:v>43</x:v>
      </x:c>
      <x:c r="B48" s="42" t="str">
        <x:v>Cross-Region inference and model resilience</x:v>
      </x:c>
      <x:c r="C48" s="63" t="n">
        <x:v>3</x:v>
      </x:c>
      <x:c r="D48" s="42" t="str">
        <x:v>Layer 3 — Models, routing, and deployment</x:v>
      </x:c>
      <x:c r="E48" s="42" t="str">
        <x:v>Official skill-derived</x:v>
      </x:c>
      <x:c r="F48" s="42" t="str">
        <x:v>1.2.3</x:v>
      </x:c>
      <x:c r="G48" s="42" t="str">
        <x:v>1.2 Select and configure FMs</x:v>
      </x:c>
      <x:c r="H48" s="42" t="str">
        <x:v>37, 41</x:v>
      </x:c>
      <x:c r="I48" s="42" t="str"/>
      <x:c r="J48" s="63" t="str">
        <x:f>IF(AND(H48="",I48=""),"None",IF(I48="","Hard","Mixed"))</x:f>
        <x:v>Hard</x:v>
      </x:c>
      <x:c r="K48" s="63" t="str">
        <x:v>Level 4 — Select/Diagnose</x:v>
      </x:c>
      <x:c r="L48" s="63" t="str">
        <x:v>Hard</x:v>
      </x:c>
      <x:c r="M48" s="42" t="str">
        <x:v>Complete an independent hands-on task and explain the key implementation decisions</x:v>
      </x:c>
      <x:c r="N48" s="42" t="str">
        <x:v>Conceptual; Causal; Strategic; Embedded</x:v>
      </x:c>
      <x:c r="O48" s="42" t="str">
        <x:v>Regional-failure simulation and resilience design</x:v>
      </x:c>
      <x:c r="P48" s="43" t="str">
        <x:v>https://docs.aws.amazon.com/aws-certification/latest/ai-professional-01/ai-professional-01-domain1.html</x:v>
      </x:c>
    </x:row>
    <x:row r="49" ht="42" customHeight="1">
      <x:c r="A49" s="57" t="n">
        <x:v>44</x:v>
      </x:c>
      <x:c r="B49" s="42" t="str">
        <x:v>On-demand and provisioned-throughput deployment</x:v>
      </x:c>
      <x:c r="C49" s="63" t="n">
        <x:v>3</x:v>
      </x:c>
      <x:c r="D49" s="42" t="str">
        <x:v>Layer 3 — Models, routing, and deployment</x:v>
      </x:c>
      <x:c r="E49" s="42" t="str">
        <x:v>Official skill-derived</x:v>
      </x:c>
      <x:c r="F49" s="42" t="str">
        <x:v>2.2.1</x:v>
      </x:c>
      <x:c r="G49" s="42" t="str">
        <x:v>2.2 Implement model deployment strategies</x:v>
      </x:c>
      <x:c r="H49" s="42" t="str">
        <x:v>7, 8, 32, 40</x:v>
      </x:c>
      <x:c r="I49" s="42" t="str"/>
      <x:c r="J49" s="63" t="str">
        <x:f>IF(AND(H49="",I49=""),"None",IF(I49="","Hard","Mixed"))</x:f>
        <x:v>Hard</x:v>
      </x:c>
      <x:c r="K49" s="63" t="str">
        <x:v>Level 3 — Apply/Implement</x:v>
      </x:c>
      <x:c r="L49" s="63" t="str">
        <x:v>Hard</x:v>
      </x:c>
      <x:c r="M49" s="42" t="str">
        <x:v>Benchmark a baseline, apply one justified change, and explain the measured quality/cost/performance effect</x:v>
      </x:c>
      <x:c r="N49" s="42" t="str">
        <x:v>Declarative; Procedural; Conditional; Embedded</x:v>
      </x:c>
      <x:c r="O49" s="42" t="str">
        <x:v>Deployment-mode lab and workload-selection scenarios</x:v>
      </x:c>
      <x:c r="P49" s="43" t="str">
        <x:v>https://docs.aws.amazon.com/aws-certification/latest/ai-professional-01/ai-professional-01-domain2.html</x:v>
      </x:c>
    </x:row>
    <x:row r="50" ht="42" customHeight="1">
      <x:c r="A50" s="57" t="n">
        <x:v>45</x:v>
      </x:c>
      <x:c r="B50" s="42" t="str">
        <x:v>SageMaker AI model endpoints</x:v>
      </x:c>
      <x:c r="C50" s="63" t="n">
        <x:v>3</x:v>
      </x:c>
      <x:c r="D50" s="42" t="str">
        <x:v>Layer 3 — Models, routing, and deployment</x:v>
      </x:c>
      <x:c r="E50" s="42" t="str">
        <x:v>Official skill-derived</x:v>
      </x:c>
      <x:c r="F50" s="42" t="str">
        <x:v>2.2.1</x:v>
      </x:c>
      <x:c r="G50" s="42" t="str">
        <x:v>2.2 Implement model deployment strategies</x:v>
      </x:c>
      <x:c r="H50" s="42" t="str">
        <x:v>3, 5, 44</x:v>
      </x:c>
      <x:c r="I50" s="42" t="str"/>
      <x:c r="J50" s="63" t="str">
        <x:f>IF(AND(H50="",I50=""),"None",IF(I50="","Hard","Mixed"))</x:f>
        <x:v>Hard</x:v>
      </x:c>
      <x:c r="K50" s="63" t="str">
        <x:v>Level 3 — Apply/Implement</x:v>
      </x:c>
      <x:c r="L50" s="63" t="str">
        <x:v>Soft</x:v>
      </x:c>
      <x:c r="M50" s="42" t="str">
        <x:v>Perform an independent deployment or pipeline task and verify rollback/recovery behavior</x:v>
      </x:c>
      <x:c r="N50" s="42" t="str">
        <x:v>Procedural; Embedded</x:v>
      </x:c>
      <x:c r="O50" s="42" t="str">
        <x:v>SageMaker endpoint deployment laboratory</x:v>
      </x:c>
      <x:c r="P50" s="43" t="str">
        <x:v>https://docs.aws.amazon.com/aws-certification/latest/ai-professional-01/ai-professional-01-domain2.html</x:v>
      </x:c>
    </x:row>
    <x:row r="51" ht="42" customHeight="1">
      <x:c r="A51" s="57" t="n">
        <x:v>46</x:v>
      </x:c>
      <x:c r="B51" s="42" t="str">
        <x:v>LLM container, GPU, memory, loading, and token-processing requirements</x:v>
      </x:c>
      <x:c r="C51" s="63" t="n">
        <x:v>3</x:v>
      </x:c>
      <x:c r="D51" s="42" t="str">
        <x:v>Layer 3 — Models, routing, and deployment</x:v>
      </x:c>
      <x:c r="E51" s="42" t="str">
        <x:v>Official skill-derived</x:v>
      </x:c>
      <x:c r="F51" s="42" t="str">
        <x:v>2.2.2</x:v>
      </x:c>
      <x:c r="G51" s="42" t="str">
        <x:v>2.2 Implement model deployment strategies</x:v>
      </x:c>
      <x:c r="H51" s="42" t="str">
        <x:v>4, 44, 45</x:v>
      </x:c>
      <x:c r="I51" s="42" t="str"/>
      <x:c r="J51" s="63" t="str">
        <x:f>IF(AND(H51="",I51=""),"None",IF(I51="","Hard","Mixed"))</x:f>
        <x:v>Hard</x:v>
      </x:c>
      <x:c r="K51" s="63" t="str">
        <x:v>Level 3 — Apply/Implement</x:v>
      </x:c>
      <x:c r="L51" s="63" t="str">
        <x:v>Soft</x:v>
      </x:c>
      <x:c r="M51" s="42" t="str">
        <x:v>Complete an independent hands-on task and explain the key implementation decisions</x:v>
      </x:c>
      <x:c r="N51" s="42" t="str">
        <x:v>Conceptual; Procedural; Causal; Embedded</x:v>
      </x:c>
      <x:c r="O51" s="42" t="str">
        <x:v>Container and resource-profiling laboratory</x:v>
      </x:c>
      <x:c r="P51" s="43" t="str">
        <x:v>https://docs.aws.amazon.com/aws-certification/latest/ai-professional-01/ai-professional-01-domain2.html</x:v>
      </x:c>
    </x:row>
    <x:row r="52" ht="42" customHeight="1">
      <x:c r="A52" s="57" t="n">
        <x:v>47</x:v>
      </x:c>
      <x:c r="B52" s="42" t="str">
        <x:v>Model customization, fine-tuning, LoRA, and adapters</x:v>
      </x:c>
      <x:c r="C52" s="63" t="n">
        <x:v>3</x:v>
      </x:c>
      <x:c r="D52" s="42" t="str">
        <x:v>Layer 3 — Models, routing, and deployment</x:v>
      </x:c>
      <x:c r="E52" s="42" t="str">
        <x:v>Official skill-derived</x:v>
      </x:c>
      <x:c r="F52" s="42" t="str">
        <x:v>1.2.4</x:v>
      </x:c>
      <x:c r="G52" s="42" t="str">
        <x:v>1.2 Select and configure FMs</x:v>
      </x:c>
      <x:c r="H52" s="42" t="str">
        <x:v>1, 7, 10, 39, 45</x:v>
      </x:c>
      <x:c r="I52" s="42" t="str">
        <x:v>46</x:v>
      </x:c>
      <x:c r="J52" s="63" t="str">
        <x:f>IF(AND(H52="",I52=""),"None",IF(I52="","Hard","Mixed"))</x:f>
        <x:v>Mixed</x:v>
      </x:c>
      <x:c r="K52" s="63" t="str">
        <x:v>Level 3 — Apply/Implement</x:v>
      </x:c>
      <x:c r="L52" s="63" t="str">
        <x:v>Soft</x:v>
      </x:c>
      <x:c r="M52" s="42" t="str">
        <x:v>Complete an independent hands-on task and explain the key implementation decisions</x:v>
      </x:c>
      <x:c r="N52" s="42" t="str">
        <x:v>Declarative; Conceptual; Procedural; Conditional</x:v>
      </x:c>
      <x:c r="O52" s="42" t="str">
        <x:v>Customization-method comparison and small LoRA/fine-tuning lab</x:v>
      </x:c>
      <x:c r="P52" s="43" t="str">
        <x:v>https://docs.aws.amazon.com/aws-certification/latest/ai-professional-01/ai-professional-01-domain1.html</x:v>
      </x:c>
    </x:row>
    <x:row r="53" ht="42" customHeight="1">
      <x:c r="A53" s="57" t="n">
        <x:v>48</x:v>
      </x:c>
      <x:c r="B53" s="42" t="str">
        <x:v>Model Registry, versioning, rollout, rollback, retirement, and lifecycle management</x:v>
      </x:c>
      <x:c r="C53" s="63" t="n">
        <x:v>3</x:v>
      </x:c>
      <x:c r="D53" s="42" t="str">
        <x:v>Layer 3 — Models, routing, and deployment</x:v>
      </x:c>
      <x:c r="E53" s="42" t="str">
        <x:v>Official skill-derived</x:v>
      </x:c>
      <x:c r="F53" s="42" t="str">
        <x:v>1.2.4; 5.1.9</x:v>
      </x:c>
      <x:c r="G53" s="42" t="str">
        <x:v>1.2 Select and configure FMs; 5.1 Implement evaluation systems for GenAI</x:v>
      </x:c>
      <x:c r="H53" s="42" t="str">
        <x:v>29, 44, 45, 47</x:v>
      </x:c>
      <x:c r="I53" s="42" t="str"/>
      <x:c r="J53" s="63" t="str">
        <x:f>IF(AND(H53="",I53=""),"None",IF(I53="","Hard","Mixed"))</x:f>
        <x:v>Hard</x:v>
      </x:c>
      <x:c r="K53" s="63" t="str">
        <x:v>Level 4 — Select/Diagnose</x:v>
      </x:c>
      <x:c r="L53" s="63" t="str">
        <x:v>Soft</x:v>
      </x:c>
      <x:c r="M53" s="42" t="str">
        <x:v>Perform an independent deployment or pipeline task and verify rollback/recovery behavior</x:v>
      </x:c>
      <x:c r="N53" s="42" t="str">
        <x:v>Procedural; Strategic; Institutional; Embedded</x:v>
      </x:c>
      <x:c r="O53" s="42" t="str">
        <x:v>Model lifecycle pipeline and rollback drill</x:v>
      </x:c>
      <x:c r="P53" s="43" t="str">
        <x:v>https://docs.aws.amazon.com/aws-certification/latest/ai-professional-01/ai-professional-01.html</x:v>
      </x:c>
    </x:row>
    <x:row r="54" ht="42" customHeight="1">
      <x:c r="A54" s="57" t="n">
        <x:v>49</x:v>
      </x:c>
      <x:c r="B54" s="42" t="str">
        <x:v>GenAI application API design</x:v>
      </x:c>
      <x:c r="C54" s="63" t="n">
        <x:v>4</x:v>
      </x:c>
      <x:c r="D54" s="42" t="str">
        <x:v>Layer 4 — Application and enterprise integration</x:v>
      </x:c>
      <x:c r="E54" s="42" t="str">
        <x:v>Official skill-derived</x:v>
      </x:c>
      <x:c r="F54" s="42" t="str">
        <x:v>2.5.1</x:v>
      </x:c>
      <x:c r="G54" s="42" t="str">
        <x:v>2.5 Implement application integration patterns and development tools</x:v>
      </x:c>
      <x:c r="H54" s="42" t="str">
        <x:v>32, 34, 35, 36, 37</x:v>
      </x:c>
      <x:c r="I54" s="42" t="str"/>
      <x:c r="J54" s="63" t="str">
        <x:f>IF(AND(H54="",I54=""),"None",IF(I54="","Hard","Mixed"))</x:f>
        <x:v>Hard</x:v>
      </x:c>
      <x:c r="K54" s="63" t="str">
        <x:v>Level 3 — Apply/Implement</x:v>
      </x:c>
      <x:c r="L54" s="63" t="str">
        <x:v>Hard</x:v>
      </x:c>
      <x:c r="M54" s="42" t="str">
        <x:v>Complete an independent integration task and handle one injected boundary or resilience failure</x:v>
      </x:c>
      <x:c r="N54" s="42" t="str">
        <x:v>Conceptual; Procedural; Conditional</x:v>
      </x:c>
      <x:c r="O54" s="42" t="str">
        <x:v>API-contract design followed by implementation</x:v>
      </x:c>
      <x:c r="P54" s="43" t="str">
        <x:v>https://docs.aws.amazon.com/aws-certification/latest/ai-professional-01/ai-professional-01-domain2.html</x:v>
      </x:c>
    </x:row>
    <x:row r="55" ht="42" customHeight="1">
      <x:c r="A55" s="57" t="n">
        <x:v>50</x:v>
      </x:c>
      <x:c r="B55" s="42" t="str">
        <x:v>UI, OpenAPI, Amplify, and low-code integration approaches</x:v>
      </x:c>
      <x:c r="C55" s="63" t="n">
        <x:v>4</x:v>
      </x:c>
      <x:c r="D55" s="42" t="str">
        <x:v>Layer 4 — Application and enterprise integration</x:v>
      </x:c>
      <x:c r="E55" s="42" t="str">
        <x:v>Official skill-derived</x:v>
      </x:c>
      <x:c r="F55" s="42" t="str">
        <x:v>2.5.2</x:v>
      </x:c>
      <x:c r="G55" s="42" t="str">
        <x:v>2.5 Implement application integration patterns and development tools</x:v>
      </x:c>
      <x:c r="H55" s="42" t="str">
        <x:v>49</x:v>
      </x:c>
      <x:c r="I55" s="42" t="str">
        <x:v>3</x:v>
      </x:c>
      <x:c r="J55" s="63" t="str">
        <x:f>IF(AND(H55="",I55=""),"None",IF(I55="","Hard","Mixed"))</x:f>
        <x:v>Mixed</x:v>
      </x:c>
      <x:c r="K55" s="63" t="str">
        <x:v>Level 3 — Apply/Implement</x:v>
      </x:c>
      <x:c r="L55" s="63" t="str">
        <x:v>Soft</x:v>
      </x:c>
      <x:c r="M55" s="42" t="str">
        <x:v>Complete an independent integration task and handle one injected boundary or resilience failure</x:v>
      </x:c>
      <x:c r="N55" s="42" t="str">
        <x:v>Declarative; Procedural; Embedded</x:v>
      </x:c>
      <x:c r="O55" s="42" t="str">
        <x:v>UI and API prototype laboratory</x:v>
      </x:c>
      <x:c r="P55" s="43" t="str">
        <x:v>https://docs.aws.amazon.com/aws-certification/latest/ai-professional-01/ai-professional-01-domain2.html</x:v>
      </x:c>
    </x:row>
    <x:row r="56" ht="42" customHeight="1">
      <x:c r="A56" s="57" t="n">
        <x:v>51</x:v>
      </x:c>
      <x:c r="B56" s="42" t="str">
        <x:v>Business-application and document-processing integration</x:v>
      </x:c>
      <x:c r="C56" s="63" t="n">
        <x:v>4</x:v>
      </x:c>
      <x:c r="D56" s="42" t="str">
        <x:v>Layer 4 — Application and enterprise integration</x:v>
      </x:c>
      <x:c r="E56" s="42" t="str">
        <x:v>Official skill-derived</x:v>
      </x:c>
      <x:c r="F56" s="42" t="str">
        <x:v>2.3.2; 2.5.3</x:v>
      </x:c>
      <x:c r="G56" s="42" t="str">
        <x:v>2.3 Design and implement enterprise integration architectures; 2.5 Implement application integration patterns and development tools</x:v>
      </x:c>
      <x:c r="H56" s="42" t="str">
        <x:v>20, 31, 49, 50</x:v>
      </x:c>
      <x:c r="I56" s="42" t="str"/>
      <x:c r="J56" s="63" t="str">
        <x:f>IF(AND(H56="",I56=""),"None",IF(I56="","Hard","Mixed"))</x:f>
        <x:v>Hard</x:v>
      </x:c>
      <x:c r="K56" s="63" t="str">
        <x:v>Level 3 — Apply/Implement</x:v>
      </x:c>
      <x:c r="L56" s="63" t="str">
        <x:v>Soft</x:v>
      </x:c>
      <x:c r="M56" s="42" t="str">
        <x:v>Complete an independent hands-on task and explain the key implementation decisions</x:v>
      </x:c>
      <x:c r="N56" s="42" t="str">
        <x:v>Conceptual; Procedural; Strategic; Embedded</x:v>
      </x:c>
      <x:c r="O56" s="42" t="str">
        <x:v>Business-workflow integration project</x:v>
      </x:c>
      <x:c r="P56" s="43" t="str">
        <x:v>https://docs.aws.amazon.com/aws-certification/latest/ai-professional-01/ai-professional-01-domain2.html</x:v>
      </x:c>
    </x:row>
    <x:row r="57" ht="42" customHeight="1">
      <x:c r="A57" s="57" t="n">
        <x:v>52</x:v>
      </x:c>
      <x:c r="B57" s="42" t="str">
        <x:v>Event-driven GenAI application patterns</x:v>
      </x:c>
      <x:c r="C57" s="63" t="n">
        <x:v>4</x:v>
      </x:c>
      <x:c r="D57" s="42" t="str">
        <x:v>Layer 4 — Application and enterprise integration</x:v>
      </x:c>
      <x:c r="E57" s="42" t="str">
        <x:v>Official skill-derived</x:v>
      </x:c>
      <x:c r="F57" s="42" t="str">
        <x:v>2.3.1; 2.3.2</x:v>
      </x:c>
      <x:c r="G57" s="42" t="str">
        <x:v>2.3 Design and implement enterprise integration architectures</x:v>
      </x:c>
      <x:c r="H57" s="42" t="str">
        <x:v>4, 33, 49</x:v>
      </x:c>
      <x:c r="I57" s="42" t="str"/>
      <x:c r="J57" s="63" t="str">
        <x:f>IF(AND(H57="",I57=""),"None",IF(I57="","Hard","Mixed"))</x:f>
        <x:v>Hard</x:v>
      </x:c>
      <x:c r="K57" s="63" t="str">
        <x:v>Level 3 — Apply/Implement</x:v>
      </x:c>
      <x:c r="L57" s="63" t="str">
        <x:v>Hard</x:v>
      </x:c>
      <x:c r="M57" s="42" t="str">
        <x:v>Complete an independent hands-on task and explain the key implementation decisions</x:v>
      </x:c>
      <x:c r="N57" s="42" t="str">
        <x:v>Conceptual; Procedural; Conditional</x:v>
      </x:c>
      <x:c r="O57" s="42" t="str">
        <x:v>Event-driven pattern comparison and implementation</x:v>
      </x:c>
      <x:c r="P57" s="43" t="str">
        <x:v>https://docs.aws.amazon.com/aws-certification/latest/ai-professional-01/ai-professional-01-domain2.html</x:v>
      </x:c>
    </x:row>
    <x:row r="58" ht="42" customHeight="1">
      <x:c r="A58" s="57" t="n">
        <x:v>53</x:v>
      </x:c>
      <x:c r="B58" s="42" t="str">
        <x:v>Legacy-system and enterprise-system integration</x:v>
      </x:c>
      <x:c r="C58" s="63" t="n">
        <x:v>4</x:v>
      </x:c>
      <x:c r="D58" s="42" t="str">
        <x:v>Layer 4 — Application and enterprise integration</x:v>
      </x:c>
      <x:c r="E58" s="42" t="str">
        <x:v>Official skill-derived</x:v>
      </x:c>
      <x:c r="F58" s="42" t="str">
        <x:v>2.3.1</x:v>
      </x:c>
      <x:c r="G58" s="42" t="str">
        <x:v>2.3 Design and implement enterprise integration architectures</x:v>
      </x:c>
      <x:c r="H58" s="42" t="str">
        <x:v>4, 5, 49, 52</x:v>
      </x:c>
      <x:c r="I58" s="42" t="str">
        <x:v>6</x:v>
      </x:c>
      <x:c r="J58" s="63" t="str">
        <x:f>IF(AND(H58="",I58=""),"None",IF(I58="","Hard","Mixed"))</x:f>
        <x:v>Mixed</x:v>
      </x:c>
      <x:c r="K58" s="63" t="str">
        <x:v>Level 4 — Select/Diagnose</x:v>
      </x:c>
      <x:c r="L58" s="63" t="str">
        <x:v>Hard</x:v>
      </x:c>
      <x:c r="M58" s="42" t="str">
        <x:v>Solve contrasting scenarios and justify both the selected and rejected approaches</x:v>
      </x:c>
      <x:c r="N58" s="42" t="str">
        <x:v>Conceptual; Conditional; Strategic; Institutional</x:v>
      </x:c>
      <x:c r="O58" s="42" t="str">
        <x:v>Legacy-integration case and architecture review</x:v>
      </x:c>
      <x:c r="P58" s="43" t="str">
        <x:v>https://docs.aws.amazon.com/aws-certification/latest/ai-professional-01/ai-professional-01-domain2.html</x:v>
      </x:c>
    </x:row>
    <x:row r="59" ht="42" customHeight="1">
      <x:c r="A59" s="57" t="n">
        <x:v>54</x:v>
      </x:c>
      <x:c r="B59" s="42" t="str">
        <x:v>Identity federation and role-based FM and data access</x:v>
      </x:c>
      <x:c r="C59" s="63" t="n">
        <x:v>4</x:v>
      </x:c>
      <x:c r="D59" s="42" t="str">
        <x:v>Layer 4 — Application and enterprise integration</x:v>
      </x:c>
      <x:c r="E59" s="42" t="str">
        <x:v>Official skill-derived</x:v>
      </x:c>
      <x:c r="F59" s="42" t="str">
        <x:v>2.3.3</x:v>
      </x:c>
      <x:c r="G59" s="42" t="str">
        <x:v>2.3 Design and implement enterprise integration architectures</x:v>
      </x:c>
      <x:c r="H59" s="42" t="str">
        <x:v>5, 49, 53</x:v>
      </x:c>
      <x:c r="I59" s="42" t="str"/>
      <x:c r="J59" s="63" t="str">
        <x:f>IF(AND(H59="",I59=""),"None",IF(I59="","Hard","Mixed"))</x:f>
        <x:v>Hard</x:v>
      </x:c>
      <x:c r="K59" s="63" t="str">
        <x:v>Level 3 — Apply/Implement</x:v>
      </x:c>
      <x:c r="L59" s="63" t="str">
        <x:v>Hard</x:v>
      </x:c>
      <x:c r="M59" s="42" t="str">
        <x:v>Complete an independent hands-on task and explain the key implementation decisions</x:v>
      </x:c>
      <x:c r="N59" s="42" t="str">
        <x:v>Conceptual; Procedural; Normative; Embedded</x:v>
      </x:c>
      <x:c r="O59" s="42" t="str">
        <x:v>Federation/RBAC lab with least-privilege tests</x:v>
      </x:c>
      <x:c r="P59" s="43" t="str">
        <x:v>https://docs.aws.amazon.com/aws-certification/latest/ai-professional-01/ai-professional-01-domain2.html</x:v>
      </x:c>
    </x:row>
    <x:row r="60" ht="42" customHeight="1">
      <x:c r="A60" s="57" t="n">
        <x:v>55</x:v>
      </x:c>
      <x:c r="B60" s="42" t="str">
        <x:v>Hybrid, on-premises, edge, and jurisdictional architectures</x:v>
      </x:c>
      <x:c r="C60" s="63" t="n">
        <x:v>4</x:v>
      </x:c>
      <x:c r="D60" s="42" t="str">
        <x:v>Layer 4 — Application and enterprise integration</x:v>
      </x:c>
      <x:c r="E60" s="42" t="str">
        <x:v>Official skill-derived</x:v>
      </x:c>
      <x:c r="F60" s="42" t="str">
        <x:v>2.3.4</x:v>
      </x:c>
      <x:c r="G60" s="42" t="str">
        <x:v>2.3 Design and implement enterprise integration architectures</x:v>
      </x:c>
      <x:c r="H60" s="42" t="str">
        <x:v>5, 53, 54</x:v>
      </x:c>
      <x:c r="I60" s="42" t="str"/>
      <x:c r="J60" s="63" t="str">
        <x:f>IF(AND(H60="",I60=""),"None",IF(I60="","Hard","Mixed"))</x:f>
        <x:v>Hard</x:v>
      </x:c>
      <x:c r="K60" s="63" t="str">
        <x:v>Level 5 — Design/Defend</x:v>
      </x:c>
      <x:c r="L60" s="63" t="str">
        <x:v>Hard</x:v>
      </x:c>
      <x:c r="M60" s="42" t="str">
        <x:v>Design a solution for a novel case and defend component choices, constraints, and residual risks</x:v>
      </x:c>
      <x:c r="N60" s="42" t="str">
        <x:v>Conceptual; Conditional; Strategic; Normative</x:v>
      </x:c>
      <x:c r="O60" s="42" t="str">
        <x:v>Hybrid and data-jurisdiction architecture case</x:v>
      </x:c>
      <x:c r="P60" s="43" t="str">
        <x:v>https://docs.aws.amazon.com/aws-certification/latest/ai-professional-01/ai-professional-01-domain2.html</x:v>
      </x:c>
    </x:row>
    <x:row r="61" ht="42" customHeight="1">
      <x:c r="A61" s="57" t="n">
        <x:v>56</x:v>
      </x:c>
      <x:c r="B61" s="42" t="str">
        <x:v>GenAI gateway architecture</x:v>
      </x:c>
      <x:c r="C61" s="63" t="n">
        <x:v>4</x:v>
      </x:c>
      <x:c r="D61" s="42" t="str">
        <x:v>Layer 4 — Application and enterprise integration</x:v>
      </x:c>
      <x:c r="E61" s="42" t="str">
        <x:v>Official skill-derived</x:v>
      </x:c>
      <x:c r="F61" s="42" t="str">
        <x:v>2.3.5</x:v>
      </x:c>
      <x:c r="G61" s="42" t="str">
        <x:v>2.3 Design and implement enterprise integration architectures</x:v>
      </x:c>
      <x:c r="H61" s="42" t="str">
        <x:v>53, 54, 55</x:v>
      </x:c>
      <x:c r="I61" s="42" t="str"/>
      <x:c r="J61" s="63" t="str">
        <x:f>IF(AND(H61="",I61=""),"None",IF(I61="","Hard","Mixed"))</x:f>
        <x:v>Hard</x:v>
      </x:c>
      <x:c r="K61" s="63" t="str">
        <x:v>Level 5 — Design/Defend</x:v>
      </x:c>
      <x:c r="L61" s="63" t="str">
        <x:v>Hard</x:v>
      </x:c>
      <x:c r="M61" s="42" t="str">
        <x:v>Design a solution for a novel case and defend component choices, constraints, and residual risks</x:v>
      </x:c>
      <x:c r="N61" s="42" t="str">
        <x:v>Conceptual; Strategic; Institutional; Embedded</x:v>
      </x:c>
      <x:c r="O61" s="42" t="str">
        <x:v>GenAI gateway architecture case and prototype</x:v>
      </x:c>
      <x:c r="P61" s="43" t="str">
        <x:v>https://docs.aws.amazon.com/aws-certification/latest/ai-professional-01/ai-professional-01-domain2.html</x:v>
      </x:c>
    </x:row>
    <x:row r="62" ht="42" customHeight="1">
      <x:c r="A62" s="57" t="n">
        <x:v>57</x:v>
      </x:c>
      <x:c r="B62" s="42" t="str">
        <x:v>Infrastructure as code</x:v>
      </x:c>
      <x:c r="C62" s="63" t="n">
        <x:v>4</x:v>
      </x:c>
      <x:c r="D62" s="42" t="str">
        <x:v>Layer 4 — Application and enterprise integration</x:v>
      </x:c>
      <x:c r="E62" s="42" t="str">
        <x:v>Official skill-derived</x:v>
      </x:c>
      <x:c r="F62" s="42" t="str">
        <x:v>2.3.5</x:v>
      </x:c>
      <x:c r="G62" s="42" t="str">
        <x:v>2.3 Design and implement enterprise integration architectures</x:v>
      </x:c>
      <x:c r="H62" s="42" t="str">
        <x:v>3, 4, 5</x:v>
      </x:c>
      <x:c r="I62" s="42" t="str"/>
      <x:c r="J62" s="63" t="str">
        <x:f>IF(AND(H62="",I62=""),"None",IF(I62="","Hard","Mixed"))</x:f>
        <x:v>Hard</x:v>
      </x:c>
      <x:c r="K62" s="63" t="str">
        <x:v>Level 3 — Apply/Implement</x:v>
      </x:c>
      <x:c r="L62" s="63" t="str">
        <x:v>Soft</x:v>
      </x:c>
      <x:c r="M62" s="42" t="str">
        <x:v>Perform an independent deployment or pipeline task and verify rollback/recovery behavior</x:v>
      </x:c>
      <x:c r="N62" s="42" t="str">
        <x:v>Procedural; Embedded</x:v>
      </x:c>
      <x:c r="O62" s="42" t="str">
        <x:v>Infrastructure-as-code build and teardown laboratory</x:v>
      </x:c>
      <x:c r="P62" s="43" t="str">
        <x:v>https://docs.aws.amazon.com/aws-certification/latest/ai-professional-01/ai-professional-01-domain2.html</x:v>
      </x:c>
    </x:row>
    <x:row r="63" ht="42" customHeight="1">
      <x:c r="A63" s="57" t="n">
        <x:v>58</x:v>
      </x:c>
      <x:c r="B63" s="42" t="str">
        <x:v>CI/CD for models, prompts, agents, and application components</x:v>
      </x:c>
      <x:c r="C63" s="63" t="n">
        <x:v>4</x:v>
      </x:c>
      <x:c r="D63" s="42" t="str">
        <x:v>Layer 4 — Application and enterprise integration</x:v>
      </x:c>
      <x:c r="E63" s="42" t="str">
        <x:v>Official skill-derived</x:v>
      </x:c>
      <x:c r="F63" s="42" t="str">
        <x:v>2.3.5</x:v>
      </x:c>
      <x:c r="G63" s="42" t="str">
        <x:v>2.3 Design and implement enterprise integration architectures</x:v>
      </x:c>
      <x:c r="H63" s="42" t="str">
        <x:v>29, 48, 49, 57</x:v>
      </x:c>
      <x:c r="I63" s="42" t="str"/>
      <x:c r="J63" s="63" t="str">
        <x:f>IF(AND(H63="",I63=""),"None",IF(I63="","Hard","Mixed"))</x:f>
        <x:v>Hard</x:v>
      </x:c>
      <x:c r="K63" s="63" t="str">
        <x:v>Level 3 — Apply/Implement</x:v>
      </x:c>
      <x:c r="L63" s="63" t="str">
        <x:v>Hard</x:v>
      </x:c>
      <x:c r="M63" s="42" t="str">
        <x:v>Improve a prompt against a fixed test set and demonstrate that no critical regression was introduced</x:v>
      </x:c>
      <x:c r="N63" s="42" t="str">
        <x:v>Conceptual; Procedural; Strategic; Embedded</x:v>
      </x:c>
      <x:c r="O63" s="42" t="str">
        <x:v>CI/CD pipeline implementation laboratory</x:v>
      </x:c>
      <x:c r="P63" s="43" t="str">
        <x:v>https://docs.aws.amazon.com/aws-certification/latest/ai-professional-01/ai-professional-01-domain2.html</x:v>
      </x:c>
    </x:row>
    <x:row r="64" ht="42" customHeight="1">
      <x:c r="A64" s="57" t="n">
        <x:v>59</x:v>
      </x:c>
      <x:c r="B64" s="42" t="str">
        <x:v>Automated testing, security scanning, deployment gates, and rollback</x:v>
      </x:c>
      <x:c r="C64" s="63" t="n">
        <x:v>4</x:v>
      </x:c>
      <x:c r="D64" s="42" t="str">
        <x:v>Layer 4 — Application and enterprise integration</x:v>
      </x:c>
      <x:c r="E64" s="42" t="str">
        <x:v>Official skill-derived</x:v>
      </x:c>
      <x:c r="F64" s="42" t="str">
        <x:v>2.3.5; 5.1.4; 5.1.9</x:v>
      </x:c>
      <x:c r="G64" s="42" t="str">
        <x:v>2.3 Design and implement enterprise integration architectures; 5.1 Implement evaluation systems for GenAI</x:v>
      </x:c>
      <x:c r="H64" s="42" t="str">
        <x:v>10, 30, 58</x:v>
      </x:c>
      <x:c r="I64" s="42" t="str"/>
      <x:c r="J64" s="63" t="str">
        <x:f>IF(AND(H64="",I64=""),"None",IF(I64="","Hard","Mixed"))</x:f>
        <x:v>Hard</x:v>
      </x:c>
      <x:c r="K64" s="63" t="str">
        <x:v>Level 3 — Apply/Implement</x:v>
      </x:c>
      <x:c r="L64" s="63" t="str">
        <x:v>Hard</x:v>
      </x:c>
      <x:c r="M64" s="42" t="str">
        <x:v>Perform an independent deployment or pipeline task and verify rollback/recovery behavior</x:v>
      </x:c>
      <x:c r="N64" s="42" t="str">
        <x:v>Procedural; Causal; Normative; Embedded</x:v>
      </x:c>
      <x:c r="O64" s="42" t="str">
        <x:v>Deployment-gate and rollback simulation</x:v>
      </x:c>
      <x:c r="P64" s="43" t="str">
        <x:v>https://docs.aws.amazon.com/aws-certification/latest/ai-professional-01/ai-professional-01.html</x:v>
      </x:c>
    </x:row>
    <x:row r="65" ht="42" customHeight="1">
      <x:c r="A65" s="57" t="n">
        <x:v>60</x:v>
      </x:c>
      <x:c r="B65" s="42" t="str">
        <x:v>GenAI developer tools and Amazon Q Developer</x:v>
      </x:c>
      <x:c r="C65" s="63" t="n">
        <x:v>4</x:v>
      </x:c>
      <x:c r="D65" s="42" t="str">
        <x:v>Layer 4 — Application and enterprise integration</x:v>
      </x:c>
      <x:c r="E65" s="42" t="str">
        <x:v>Official skill-derived</x:v>
      </x:c>
      <x:c r="F65" s="42" t="str">
        <x:v>2.5.4</x:v>
      </x:c>
      <x:c r="G65" s="42" t="str">
        <x:v>2.5 Implement application integration patterns and development tools</x:v>
      </x:c>
      <x:c r="H65" s="42" t="str">
        <x:v>3, 49, 58</x:v>
      </x:c>
      <x:c r="I65" s="42" t="str">
        <x:v>57</x:v>
      </x:c>
      <x:c r="J65" s="63" t="str">
        <x:f>IF(AND(H65="",I65=""),"None",IF(I65="","Hard","Mixed"))</x:f>
        <x:v>Mixed</x:v>
      </x:c>
      <x:c r="K65" s="63" t="str">
        <x:v>Level 3 — Apply/Implement</x:v>
      </x:c>
      <x:c r="L65" s="63" t="str">
        <x:v>Soft</x:v>
      </x:c>
      <x:c r="M65" s="42" t="str">
        <x:v>Complete an agent/tool task, inspect its trace, and handle an injected tool or control failure</x:v>
      </x:c>
      <x:c r="N65" s="42" t="str">
        <x:v>Procedural; Conditional; Embedded</x:v>
      </x:c>
      <x:c r="O65" s="42" t="str">
        <x:v>AI-assisted coding lab with critical code review</x:v>
      </x:c>
      <x:c r="P65" s="43" t="str">
        <x:v>https://docs.aws.amazon.com/aws-certification/latest/ai-professional-01/ai-professional-01-domain2.html</x:v>
      </x:c>
    </x:row>
    <x:row r="66" ht="42" customHeight="1">
      <x:c r="A66" s="57" t="n">
        <x:v>61</x:v>
      </x:c>
      <x:c r="B66" s="42" t="str">
        <x:v>Function calling and tool-interface design</x:v>
      </x:c>
      <x:c r="C66" s="63" t="n">
        <x:v>5</x:v>
      </x:c>
      <x:c r="D66" s="42" t="str">
        <x:v>Layer 5 — Tools and agentic AI</x:v>
      </x:c>
      <x:c r="E66" s="42" t="str">
        <x:v>Official skill-derived</x:v>
      </x:c>
      <x:c r="F66" s="42" t="str">
        <x:v>2.1.6</x:v>
      </x:c>
      <x:c r="G66" s="42" t="str">
        <x:v>2.1 Implement agentic AI solutions and tool integrations</x:v>
      </x:c>
      <x:c r="H66" s="42" t="str">
        <x:v>4, 8, 9, 32</x:v>
      </x:c>
      <x:c r="I66" s="42" t="str"/>
      <x:c r="J66" s="63" t="str">
        <x:f>IF(AND(H66="",I66=""),"None",IF(I66="","Hard","Mixed"))</x:f>
        <x:v>Hard</x:v>
      </x:c>
      <x:c r="K66" s="63" t="str">
        <x:v>Level 3 — Apply/Implement</x:v>
      </x:c>
      <x:c r="L66" s="63" t="str">
        <x:v>Hard</x:v>
      </x:c>
      <x:c r="M66" s="42" t="str">
        <x:v>Complete an agent/tool task, inspect its trace, and handle an injected tool or control failure</x:v>
      </x:c>
      <x:c r="N66" s="42" t="str">
        <x:v>Conceptual; Procedural</x:v>
      </x:c>
      <x:c r="O66" s="42" t="str">
        <x:v>Tool-schema design and function-calling laboratory</x:v>
      </x:c>
      <x:c r="P66" s="43" t="str">
        <x:v>https://docs.aws.amazon.com/aws-certification/latest/ai-professional-01/ai-professional-01-domain2.html</x:v>
      </x:c>
    </x:row>
    <x:row r="67" ht="42" customHeight="1">
      <x:c r="A67" s="57" t="n">
        <x:v>62</x:v>
      </x:c>
      <x:c r="B67" s="42" t="str">
        <x:v>Tool schemas, parameter validation, authorization, and error handling</x:v>
      </x:c>
      <x:c r="C67" s="63" t="n">
        <x:v>5</x:v>
      </x:c>
      <x:c r="D67" s="42" t="str">
        <x:v>Layer 5 — Tools and agentic AI</x:v>
      </x:c>
      <x:c r="E67" s="42" t="str">
        <x:v>Official skill-derived</x:v>
      </x:c>
      <x:c r="F67" s="42" t="str">
        <x:v>2.1.3; 2.1.6</x:v>
      </x:c>
      <x:c r="G67" s="42" t="str">
        <x:v>2.1 Implement agentic AI solutions and tool integrations</x:v>
      </x:c>
      <x:c r="H67" s="42" t="str">
        <x:v>5, 36, 61</x:v>
      </x:c>
      <x:c r="I67" s="42" t="str"/>
      <x:c r="J67" s="63" t="str">
        <x:f>IF(AND(H67="",I67=""),"None",IF(I67="","Hard","Mixed"))</x:f>
        <x:v>Hard</x:v>
      </x:c>
      <x:c r="K67" s="63" t="str">
        <x:v>Level 3 — Apply/Implement</x:v>
      </x:c>
      <x:c r="L67" s="63" t="str">
        <x:v>Hard</x:v>
      </x:c>
      <x:c r="M67" s="42" t="str">
        <x:v>Complete an agent/tool task, inspect its trace, and handle an injected tool or control failure</x:v>
      </x:c>
      <x:c r="N67" s="42" t="str">
        <x:v>Procedural; Causal; Normative</x:v>
      </x:c>
      <x:c r="O67" s="42" t="str">
        <x:v>Invalid, unsafe, and unauthorized tool-call tests</x:v>
      </x:c>
      <x:c r="P67" s="43" t="str">
        <x:v>https://docs.aws.amazon.com/aws-certification/latest/ai-professional-01/ai-professional-01-domain2.html</x:v>
      </x:c>
    </x:row>
    <x:row r="68" ht="42" customHeight="1">
      <x:c r="A68" s="57" t="n">
        <x:v>63</x:v>
      </x:c>
      <x:c r="B68" s="42" t="str">
        <x:v>MCP clients and servers</x:v>
      </x:c>
      <x:c r="C68" s="63" t="n">
        <x:v>5</x:v>
      </x:c>
      <x:c r="D68" s="42" t="str">
        <x:v>Layer 5 — Tools and agentic AI</x:v>
      </x:c>
      <x:c r="E68" s="42" t="str">
        <x:v>Official skill-derived</x:v>
      </x:c>
      <x:c r="F68" s="42" t="str">
        <x:v>1.5.6; 2.1.1; 2.1.7</x:v>
      </x:c>
      <x:c r="G68" s="42" t="str">
        <x:v>1.5 Design retrieval mechanisms for FM augmentation; 2.1 Implement agentic AI solutions and tool integrations</x:v>
      </x:c>
      <x:c r="H68" s="42" t="str">
        <x:v>25, 61, 62</x:v>
      </x:c>
      <x:c r="I68" s="42" t="str">
        <x:v>57</x:v>
      </x:c>
      <x:c r="J68" s="63" t="str">
        <x:f>IF(AND(H68="",I68=""),"None",IF(I68="","Hard","Mixed"))</x:f>
        <x:v>Mixed</x:v>
      </x:c>
      <x:c r="K68" s="63" t="str">
        <x:v>Level 3 — Apply/Implement</x:v>
      </x:c>
      <x:c r="L68" s="63" t="str">
        <x:v>Soft</x:v>
      </x:c>
      <x:c r="M68" s="42" t="str">
        <x:v>Complete an agent/tool task, inspect its trace, and handle an injected tool or control failure</x:v>
      </x:c>
      <x:c r="N68" s="42" t="str">
        <x:v>Conceptual; Procedural; Embedded</x:v>
      </x:c>
      <x:c r="O68" s="42" t="str">
        <x:v>Build an MCP client and server</x:v>
      </x:c>
      <x:c r="P68" s="43" t="str">
        <x:v>https://docs.aws.amazon.com/aws-certification/latest/ai-professional-01/ai-professional-01.html</x:v>
      </x:c>
    </x:row>
    <x:row r="69" ht="42" customHeight="1">
      <x:c r="A69" s="57" t="n">
        <x:v>64</x:v>
      </x:c>
      <x:c r="B69" s="42" t="str">
        <x:v>Single-agent architecture and orchestration</x:v>
      </x:c>
      <x:c r="C69" s="63" t="n">
        <x:v>5</x:v>
      </x:c>
      <x:c r="D69" s="42" t="str">
        <x:v>Layer 5 — Tools and agentic AI</x:v>
      </x:c>
      <x:c r="E69" s="42" t="str">
        <x:v>Official skill-derived</x:v>
      </x:c>
      <x:c r="F69" s="42" t="str">
        <x:v>2.1.1; 2.5.5</x:v>
      </x:c>
      <x:c r="G69" s="42" t="str">
        <x:v>2.1 Implement agentic AI solutions and tool integrations; 2.5 Implement application integration patterns and development tools</x:v>
      </x:c>
      <x:c r="H69" s="42" t="str">
        <x:v>27, 61, 62</x:v>
      </x:c>
      <x:c r="I69" s="42" t="str"/>
      <x:c r="J69" s="63" t="str">
        <x:f>IF(AND(H69="",I69=""),"None",IF(I69="","Hard","Mixed"))</x:f>
        <x:v>Hard</x:v>
      </x:c>
      <x:c r="K69" s="63" t="str">
        <x:v>Level 3 — Apply/Implement</x:v>
      </x:c>
      <x:c r="L69" s="63" t="str">
        <x:v>Hard</x:v>
      </x:c>
      <x:c r="M69" s="42" t="str">
        <x:v>Design a solution for a novel case and defend component choices, constraints, and residual risks</x:v>
      </x:c>
      <x:c r="N69" s="42" t="str">
        <x:v>Conceptual; Procedural; Strategic</x:v>
      </x:c>
      <x:c r="O69" s="42" t="str">
        <x:v>Single-agent mini-project</x:v>
      </x:c>
      <x:c r="P69" s="43" t="str">
        <x:v>https://docs.aws.amazon.com/aws-certification/latest/ai-professional-01/ai-professional-01-domain2.html</x:v>
      </x:c>
    </x:row>
    <x:row r="70" ht="42" customHeight="1">
      <x:c r="A70" s="57" t="n">
        <x:v>65</x:v>
      </x:c>
      <x:c r="B70" s="42" t="str">
        <x:v>Agent planning, task decomposition, and structured reasoning</x:v>
      </x:c>
      <x:c r="C70" s="63" t="n">
        <x:v>5</x:v>
      </x:c>
      <x:c r="D70" s="42" t="str">
        <x:v>Layer 5 — Tools and agentic AI</x:v>
      </x:c>
      <x:c r="E70" s="42" t="str">
        <x:v>Official skill-derived</x:v>
      </x:c>
      <x:c r="F70" s="42" t="str">
        <x:v>2.1.2</x:v>
      </x:c>
      <x:c r="G70" s="42" t="str">
        <x:v>2.1 Implement agentic AI solutions and tool integrations</x:v>
      </x:c>
      <x:c r="H70" s="42" t="str">
        <x:v>31, 64</x:v>
      </x:c>
      <x:c r="I70" s="42" t="str"/>
      <x:c r="J70" s="63" t="str">
        <x:f>IF(AND(H70="",I70=""),"None",IF(I70="","Hard","Mixed"))</x:f>
        <x:v>Hard</x:v>
      </x:c>
      <x:c r="K70" s="63" t="str">
        <x:v>Level 4 — Select/Diagnose</x:v>
      </x:c>
      <x:c r="L70" s="63" t="str">
        <x:v>Hard</x:v>
      </x:c>
      <x:c r="M70" s="42" t="str">
        <x:v>Complete an agent/tool task, inspect its trace, and handle an injected tool or control failure</x:v>
      </x:c>
      <x:c r="N70" s="42" t="str">
        <x:v>Conceptual; Procedural; Causal; Strategic</x:v>
      </x:c>
      <x:c r="O70" s="42" t="str">
        <x:v>Think-aloud decomposition and agent-workflow laboratory</x:v>
      </x:c>
      <x:c r="P70" s="43" t="str">
        <x:v>https://docs.aws.amazon.com/aws-certification/latest/ai-professional-01/ai-professional-01-domain2.html</x:v>
      </x:c>
    </x:row>
    <x:row r="71" ht="42" customHeight="1">
      <x:c r="A71" s="57" t="n">
        <x:v>66</x:v>
      </x:c>
      <x:c r="B71" s="42" t="str">
        <x:v>Agent memory and state management</x:v>
      </x:c>
      <x:c r="C71" s="63" t="n">
        <x:v>5</x:v>
      </x:c>
      <x:c r="D71" s="42" t="str">
        <x:v>Layer 5 — Tools and agentic AI</x:v>
      </x:c>
      <x:c r="E71" s="42" t="str">
        <x:v>Official skill-derived</x:v>
      </x:c>
      <x:c r="F71" s="42" t="str">
        <x:v>2.1.1</x:v>
      </x:c>
      <x:c r="G71" s="42" t="str">
        <x:v>2.1 Implement agentic AI solutions and tool integrations</x:v>
      </x:c>
      <x:c r="H71" s="42" t="str">
        <x:v>27, 64</x:v>
      </x:c>
      <x:c r="I71" s="42" t="str"/>
      <x:c r="J71" s="63" t="str">
        <x:f>IF(AND(H71="",I71=""),"None",IF(I71="","Hard","Mixed"))</x:f>
        <x:v>Hard</x:v>
      </x:c>
      <x:c r="K71" s="63" t="str">
        <x:v>Level 3 — Apply/Implement</x:v>
      </x:c>
      <x:c r="L71" s="63" t="str">
        <x:v>Hard</x:v>
      </x:c>
      <x:c r="M71" s="42" t="str">
        <x:v>Complete an agent/tool task, inspect its trace, and handle an injected tool or control failure</x:v>
      </x:c>
      <x:c r="N71" s="42" t="str">
        <x:v>Conceptual; Procedural; Causal</x:v>
      </x:c>
      <x:c r="O71" s="42" t="str">
        <x:v>Agent state and memory experiments</x:v>
      </x:c>
      <x:c r="P71" s="43" t="str">
        <x:v>https://docs.aws.amazon.com/aws-certification/latest/ai-professional-01/ai-professional-01-domain2.html</x:v>
      </x:c>
    </x:row>
    <x:row r="72" ht="42" customHeight="1">
      <x:c r="A72" s="57" t="n">
        <x:v>67</x:v>
      </x:c>
      <x:c r="B72" s="42" t="str">
        <x:v>Tool-use reliability and failure recovery</x:v>
      </x:c>
      <x:c r="C72" s="63" t="n">
        <x:v>5</x:v>
      </x:c>
      <x:c r="D72" s="42" t="str">
        <x:v>Layer 5 — Tools and agentic AI</x:v>
      </x:c>
      <x:c r="E72" s="42" t="str">
        <x:v>Official skill-derived</x:v>
      </x:c>
      <x:c r="F72" s="42" t="str">
        <x:v>2.1.6</x:v>
      </x:c>
      <x:c r="G72" s="42" t="str">
        <x:v>2.1 Implement agentic AI solutions and tool integrations</x:v>
      </x:c>
      <x:c r="H72" s="42" t="str">
        <x:v>36, 62, 64</x:v>
      </x:c>
      <x:c r="I72" s="42" t="str"/>
      <x:c r="J72" s="63" t="str">
        <x:f>IF(AND(H72="",I72=""),"None",IF(I72="","Hard","Mixed"))</x:f>
        <x:v>Hard</x:v>
      </x:c>
      <x:c r="K72" s="63" t="str">
        <x:v>Level 3 — Apply/Implement</x:v>
      </x:c>
      <x:c r="L72" s="63" t="str">
        <x:v>Hard</x:v>
      </x:c>
      <x:c r="M72" s="42" t="str">
        <x:v>Complete an agent/tool task, inspect its trace, and handle an injected tool or control failure</x:v>
      </x:c>
      <x:c r="N72" s="42" t="str">
        <x:v>Procedural; Causal; Tacit</x:v>
      </x:c>
      <x:c r="O72" s="42" t="str">
        <x:v>Tool-failure injection and recovery exercise</x:v>
      </x:c>
      <x:c r="P72" s="43" t="str">
        <x:v>https://docs.aws.amazon.com/aws-certification/latest/ai-professional-01/ai-professional-01-domain2.html</x:v>
      </x:c>
    </x:row>
    <x:row r="73" ht="42" customHeight="1">
      <x:c r="A73" s="57" t="n">
        <x:v>68</x:v>
      </x:c>
      <x:c r="B73" s="42" t="str">
        <x:v>Agent stopping conditions, timeouts, boundaries, and circuit breakers</x:v>
      </x:c>
      <x:c r="C73" s="63" t="n">
        <x:v>5</x:v>
      </x:c>
      <x:c r="D73" s="42" t="str">
        <x:v>Layer 5 — Tools and agentic AI</x:v>
      </x:c>
      <x:c r="E73" s="42" t="str">
        <x:v>Official skill-derived</x:v>
      </x:c>
      <x:c r="F73" s="42" t="str">
        <x:v>2.1.3</x:v>
      </x:c>
      <x:c r="G73" s="42" t="str">
        <x:v>2.1 Implement agentic AI solutions and tool integrations</x:v>
      </x:c>
      <x:c r="H73" s="42" t="str">
        <x:v>37, 64, 67</x:v>
      </x:c>
      <x:c r="I73" s="42" t="str"/>
      <x:c r="J73" s="63" t="str">
        <x:f>IF(AND(H73="",I73=""),"None",IF(I73="","Hard","Mixed"))</x:f>
        <x:v>Hard</x:v>
      </x:c>
      <x:c r="K73" s="63" t="str">
        <x:v>Level 3 — Apply/Implement</x:v>
      </x:c>
      <x:c r="L73" s="63" t="str">
        <x:v>Hard</x:v>
      </x:c>
      <x:c r="M73" s="42" t="str">
        <x:v>Complete an agent/tool task, inspect its trace, and handle an injected tool or control failure</x:v>
      </x:c>
      <x:c r="N73" s="42" t="str">
        <x:v>Procedural; Causal; Normative; Strategic</x:v>
      </x:c>
      <x:c r="O73" s="42" t="str">
        <x:v>Agent loop, timeout, and boundary tests</x:v>
      </x:c>
      <x:c r="P73" s="43" t="str">
        <x:v>https://docs.aws.amazon.com/aws-certification/latest/ai-professional-01/ai-professional-01-domain2.html</x:v>
      </x:c>
    </x:row>
    <x:row r="74" ht="42" customHeight="1">
      <x:c r="A74" s="57" t="n">
        <x:v>69</x:v>
      </x:c>
      <x:c r="B74" s="42" t="str">
        <x:v>Human-in-the-loop review, approval, escalation, and feedback</x:v>
      </x:c>
      <x:c r="C74" s="63" t="n">
        <x:v>5</x:v>
      </x:c>
      <x:c r="D74" s="42" t="str">
        <x:v>Layer 5 — Tools and agentic AI</x:v>
      </x:c>
      <x:c r="E74" s="42" t="str">
        <x:v>Official skill-derived</x:v>
      </x:c>
      <x:c r="F74" s="42" t="str">
        <x:v>2.1.5</x:v>
      </x:c>
      <x:c r="G74" s="42" t="str">
        <x:v>2.1 Implement agentic AI solutions and tool integrations</x:v>
      </x:c>
      <x:c r="H74" s="42" t="str">
        <x:v>5, 64, 68</x:v>
      </x:c>
      <x:c r="I74" s="42" t="str"/>
      <x:c r="J74" s="63" t="str">
        <x:f>IF(AND(H74="",I74=""),"None",IF(I74="","Hard","Mixed"))</x:f>
        <x:v>Hard</x:v>
      </x:c>
      <x:c r="K74" s="63" t="str">
        <x:v>Level 4 — Select/Diagnose</x:v>
      </x:c>
      <x:c r="L74" s="63" t="str">
        <x:v>Hard</x:v>
      </x:c>
      <x:c r="M74" s="42" t="str">
        <x:v>Solve contrasting scenarios and justify both the selected and rejected approaches</x:v>
      </x:c>
      <x:c r="N74" s="42" t="str">
        <x:v>Conditional; Strategic; Normative; Institutional</x:v>
      </x:c>
      <x:c r="O74" s="42" t="str">
        <x:v>Human-in-the-loop case and approval-workflow implementation</x:v>
      </x:c>
      <x:c r="P74" s="43" t="str">
        <x:v>https://docs.aws.amazon.com/aws-certification/latest/ai-professional-01/ai-professional-01-domain2.html</x:v>
      </x:c>
    </x:row>
    <x:row r="75" ht="42" customHeight="1">
      <x:c r="A75" s="57" t="n">
        <x:v>70</x:v>
      </x:c>
      <x:c r="B75" s="42" t="str">
        <x:v>Specialized-model and agent coordination</x:v>
      </x:c>
      <x:c r="C75" s="63" t="n">
        <x:v>5</x:v>
      </x:c>
      <x:c r="D75" s="42" t="str">
        <x:v>Layer 5 — Tools and agentic AI</x:v>
      </x:c>
      <x:c r="E75" s="42" t="str">
        <x:v>Official skill-derived</x:v>
      </x:c>
      <x:c r="F75" s="42" t="str">
        <x:v>2.1.4</x:v>
      </x:c>
      <x:c r="G75" s="42" t="str">
        <x:v>2.1 Implement agentic AI solutions and tool integrations</x:v>
      </x:c>
      <x:c r="H75" s="42" t="str">
        <x:v>41, 42, 64</x:v>
      </x:c>
      <x:c r="I75" s="42" t="str">
        <x:v>69</x:v>
      </x:c>
      <x:c r="J75" s="63" t="str">
        <x:f>IF(AND(H75="",I75=""),"None",IF(I75="","Hard","Mixed"))</x:f>
        <x:v>Mixed</x:v>
      </x:c>
      <x:c r="K75" s="63" t="str">
        <x:v>Level 4 — Select/Diagnose</x:v>
      </x:c>
      <x:c r="L75" s="63" t="str">
        <x:v>Soft</x:v>
      </x:c>
      <x:c r="M75" s="42" t="str">
        <x:v>Complete an agent/tool task, inspect its trace, and handle an injected tool or control failure</x:v>
      </x:c>
      <x:c r="N75" s="42" t="str">
        <x:v>Conceptual; Conditional; Strategic</x:v>
      </x:c>
      <x:c r="O75" s="42" t="str">
        <x:v>Coordination design and comparison experiment</x:v>
      </x:c>
      <x:c r="P75" s="43" t="str">
        <x:v>https://docs.aws.amazon.com/aws-certification/latest/ai-professional-01/ai-professional-01-domain2.html</x:v>
      </x:c>
    </x:row>
    <x:row r="76" ht="42" customHeight="1">
      <x:c r="A76" s="57" t="n">
        <x:v>71</x:v>
      </x:c>
      <x:c r="B76" s="42" t="str">
        <x:v>Multi-agent systems</x:v>
      </x:c>
      <x:c r="C76" s="63" t="n">
        <x:v>5</x:v>
      </x:c>
      <x:c r="D76" s="42" t="str">
        <x:v>Layer 5 — Tools and agentic AI</x:v>
      </x:c>
      <x:c r="E76" s="42" t="str">
        <x:v>Official skill-derived</x:v>
      </x:c>
      <x:c r="F76" s="42" t="str">
        <x:v>2.1.1; 2.1.4; 2.5.5</x:v>
      </x:c>
      <x:c r="G76" s="42" t="str">
        <x:v>2.1 Implement agentic AI solutions and tool integrations; 2.5 Implement application integration patterns and development tools</x:v>
      </x:c>
      <x:c r="H76" s="42" t="str">
        <x:v>64, 66, 67, 68, 70</x:v>
      </x:c>
      <x:c r="I76" s="42" t="str">
        <x:v>69</x:v>
      </x:c>
      <x:c r="J76" s="63" t="str">
        <x:f>IF(AND(H76="",I76=""),"None",IF(I76="","Hard","Mixed"))</x:f>
        <x:v>Mixed</x:v>
      </x:c>
      <x:c r="K76" s="63" t="str">
        <x:v>Level 4 — Select/Diagnose</x:v>
      </x:c>
      <x:c r="L76" s="63" t="str">
        <x:v>Soft</x:v>
      </x:c>
      <x:c r="M76" s="42" t="str">
        <x:v>Complete an agent/tool task, inspect its trace, and handle an injected tool or control failure</x:v>
      </x:c>
      <x:c r="N76" s="42" t="str">
        <x:v>Conceptual; Strategic; Tacit</x:v>
      </x:c>
      <x:c r="O76" s="42" t="str">
        <x:v>Single-versus-multi-agent case study and build</x:v>
      </x:c>
      <x:c r="P76" s="43" t="str">
        <x:v>https://docs.aws.amazon.com/aws-certification/latest/ai-professional-01/ai-professional-01-domain2.html</x:v>
      </x:c>
    </x:row>
    <x:row r="77" ht="42" customHeight="1">
      <x:c r="A77" s="57" t="n">
        <x:v>72</x:v>
      </x:c>
      <x:c r="B77" s="42" t="str">
        <x:v>Agent tracing and observability</x:v>
      </x:c>
      <x:c r="C77" s="63" t="n">
        <x:v>5</x:v>
      </x:c>
      <x:c r="D77" s="42" t="str">
        <x:v>Layer 5 — Tools and agentic AI</x:v>
      </x:c>
      <x:c r="E77" s="42" t="str">
        <x:v>Official skill-derived</x:v>
      </x:c>
      <x:c r="F77" s="42" t="str">
        <x:v>3.4.1; 4.3.4</x:v>
      </x:c>
      <x:c r="G77" s="42" t="str">
        <x:v>3.4 Implement responsible AI principles; 4.3 Implement monitoring systems for GenAI applications</x:v>
      </x:c>
      <x:c r="H77" s="42" t="str">
        <x:v>38, 64, 67, 71</x:v>
      </x:c>
      <x:c r="I77" s="42" t="str"/>
      <x:c r="J77" s="63" t="str">
        <x:f>IF(AND(H77="",I77=""),"None",IF(I77="","Hard","Mixed"))</x:f>
        <x:v>Hard</x:v>
      </x:c>
      <x:c r="K77" s="63" t="str">
        <x:v>Level 3 — Apply/Implement</x:v>
      </x:c>
      <x:c r="L77" s="63" t="str">
        <x:v>Hard</x:v>
      </x:c>
      <x:c r="M77" s="42" t="str">
        <x:v>Instrument the system, detect an injected anomaly, and identify the affected component</x:v>
      </x:c>
      <x:c r="N77" s="42" t="str">
        <x:v>Procedural; Diagnostic/Causal; Embedded</x:v>
      </x:c>
      <x:c r="O77" s="42" t="str">
        <x:v>Agent trace and execution-path analysis</x:v>
      </x:c>
      <x:c r="P77" s="43" t="str">
        <x:v>https://docs.aws.amazon.com/aws-certification/latest/ai-professional-01/ai-professional-01.html</x:v>
      </x:c>
    </x:row>
    <x:row r="78" ht="42" customHeight="1">
      <x:c r="A78" s="57" t="n">
        <x:v>73</x:v>
      </x:c>
      <x:c r="B78" s="42" t="str">
        <x:v>Agent evaluation and task-completion measurement</x:v>
      </x:c>
      <x:c r="C78" s="63" t="n">
        <x:v>5</x:v>
      </x:c>
      <x:c r="D78" s="42" t="str">
        <x:v>Layer 5 — Tools and agentic AI</x:v>
      </x:c>
      <x:c r="E78" s="42" t="str">
        <x:v>Official skill-derived</x:v>
      </x:c>
      <x:c r="F78" s="42" t="str">
        <x:v>5.1.7</x:v>
      </x:c>
      <x:c r="G78" s="42" t="str">
        <x:v>5.1 Implement evaluation systems for GenAI</x:v>
      </x:c>
      <x:c r="H78" s="42" t="str">
        <x:v>10, 64, 72</x:v>
      </x:c>
      <x:c r="I78" s="42" t="str"/>
      <x:c r="J78" s="63" t="str">
        <x:f>IF(AND(H78="",I78=""),"None",IF(I78="","Hard","Mixed"))</x:f>
        <x:v>Hard</x:v>
      </x:c>
      <x:c r="K78" s="63" t="str">
        <x:v>Level 4 — Select/Diagnose</x:v>
      </x:c>
      <x:c r="L78" s="63" t="str">
        <x:v>Soft</x:v>
      </x:c>
      <x:c r="M78" s="42" t="str">
        <x:v>Build or apply an evaluation set, interpret results, and make a justified release or model decision</x:v>
      </x:c>
      <x:c r="N78" s="42" t="str">
        <x:v>Conceptual; Procedural; Conditional</x:v>
      </x:c>
      <x:c r="O78" s="42" t="str">
        <x:v>Build an agent evaluation harness</x:v>
      </x:c>
      <x:c r="P78" s="43" t="str">
        <x:v>https://docs.aws.amazon.com/aws-certification/latest/ai-professional-01/ai-professional-01-domain5.html</x:v>
      </x:c>
    </x:row>
    <x:row r="79" ht="42" customHeight="1">
      <x:c r="A79" s="57" t="n">
        <x:v>74</x:v>
      </x:c>
      <x:c r="B79" s="42" t="str">
        <x:v>Input content filtering and moderation</x:v>
      </x:c>
      <x:c r="C79" s="63" t="n">
        <x:v>6</x:v>
      </x:c>
      <x:c r="D79" s="42" t="str">
        <x:v>Layer 6 — Safety, security, and privacy</x:v>
      </x:c>
      <x:c r="E79" s="42" t="str">
        <x:v>Official skill-derived</x:v>
      </x:c>
      <x:c r="F79" s="42" t="str">
        <x:v>3.1.1</x:v>
      </x:c>
      <x:c r="G79" s="42" t="str">
        <x:v>3.1 Implement input and output safety controls</x:v>
      </x:c>
      <x:c r="H79" s="42" t="str">
        <x:v>9, 32</x:v>
      </x:c>
      <x:c r="I79" s="42" t="str"/>
      <x:c r="J79" s="63" t="str">
        <x:f>IF(AND(H79="",I79=""),"None",IF(I79="","Hard","Mixed"))</x:f>
        <x:v>Hard</x:v>
      </x:c>
      <x:c r="K79" s="63" t="str">
        <x:v>Level 3 — Apply/Implement</x:v>
      </x:c>
      <x:c r="L79" s="63" t="str">
        <x:v>Hard</x:v>
      </x:c>
      <x:c r="M79" s="42" t="str">
        <x:v>Complete an independent hands-on task and explain the key implementation decisions</x:v>
      </x:c>
      <x:c r="N79" s="42" t="str">
        <x:v>Procedural; Conditional; Normative; Embedded</x:v>
      </x:c>
      <x:c r="O79" s="42" t="str">
        <x:v>Adversarial-input moderation laboratory</x:v>
      </x:c>
      <x:c r="P79" s="43" t="str">
        <x:v>https://docs.aws.amazon.com/aws-certification/latest/ai-professional-01/ai-professional-01-domain3.html</x:v>
      </x:c>
    </x:row>
    <x:row r="80" ht="42" customHeight="1">
      <x:c r="A80" s="57" t="n">
        <x:v>75</x:v>
      </x:c>
      <x:c r="B80" s="42" t="str">
        <x:v>Output filtering and moderation</x:v>
      </x:c>
      <x:c r="C80" s="63" t="n">
        <x:v>6</x:v>
      </x:c>
      <x:c r="D80" s="42" t="str">
        <x:v>Layer 6 — Safety, security, and privacy</x:v>
      </x:c>
      <x:c r="E80" s="42" t="str">
        <x:v>Official skill-derived</x:v>
      </x:c>
      <x:c r="F80" s="42" t="str">
        <x:v>3.1.2</x:v>
      </x:c>
      <x:c r="G80" s="42" t="str">
        <x:v>3.1 Implement input and output safety controls</x:v>
      </x:c>
      <x:c r="H80" s="42" t="str">
        <x:v>74</x:v>
      </x:c>
      <x:c r="I80" s="42" t="str"/>
      <x:c r="J80" s="63" t="str">
        <x:f>IF(AND(H80="",I80=""),"None",IF(I80="","Hard","Mixed"))</x:f>
        <x:v>Hard</x:v>
      </x:c>
      <x:c r="K80" s="63" t="str">
        <x:v>Level 3 — Apply/Implement</x:v>
      </x:c>
      <x:c r="L80" s="63" t="str">
        <x:v>Hard</x:v>
      </x:c>
      <x:c r="M80" s="42" t="str">
        <x:v>Complete an independent hands-on task and explain the key implementation decisions</x:v>
      </x:c>
      <x:c r="N80" s="42" t="str">
        <x:v>Procedural; Conditional; Normative; Embedded</x:v>
      </x:c>
      <x:c r="O80" s="42" t="str">
        <x:v>Output-safety evaluation laboratory</x:v>
      </x:c>
      <x:c r="P80" s="43" t="str">
        <x:v>https://docs.aws.amazon.com/aws-certification/latest/ai-professional-01/ai-professional-01-domain3.html</x:v>
      </x:c>
    </x:row>
    <x:row r="81" ht="42" customHeight="1">
      <x:c r="A81" s="57" t="n">
        <x:v>76</x:v>
      </x:c>
      <x:c r="B81" s="42" t="str">
        <x:v>Grounding, factual verification, confidence, and hallucination reduction</x:v>
      </x:c>
      <x:c r="C81" s="63" t="n">
        <x:v>6</x:v>
      </x:c>
      <x:c r="D81" s="42" t="str">
        <x:v>Layer 6 — Safety, security, and privacy</x:v>
      </x:c>
      <x:c r="E81" s="42" t="str">
        <x:v>Official skill-derived</x:v>
      </x:c>
      <x:c r="F81" s="42" t="str">
        <x:v>3.1.3</x:v>
      </x:c>
      <x:c r="G81" s="42" t="str">
        <x:v>3.1 Implement input and output safety controls</x:v>
      </x:c>
      <x:c r="H81" s="42" t="str">
        <x:v>10, 20, 74, 75</x:v>
      </x:c>
      <x:c r="I81" s="42" t="str"/>
      <x:c r="J81" s="63" t="str">
        <x:f>IF(AND(H81="",I81=""),"None",IF(I81="","Hard","Mixed"))</x:f>
        <x:v>Hard</x:v>
      </x:c>
      <x:c r="K81" s="63" t="str">
        <x:v>Level 4 — Select/Diagnose</x:v>
      </x:c>
      <x:c r="L81" s="63" t="str">
        <x:v>Hard</x:v>
      </x:c>
      <x:c r="M81" s="42" t="str">
        <x:v>Complete an independent hands-on task and explain the key implementation decisions</x:v>
      </x:c>
      <x:c r="N81" s="42" t="str">
        <x:v>Conceptual; Procedural; Causal; Normative</x:v>
      </x:c>
      <x:c r="O81" s="42" t="str">
        <x:v>Grounding and factual-verification experiment</x:v>
      </x:c>
      <x:c r="P81" s="43" t="str">
        <x:v>https://docs.aws.amazon.com/aws-certification/latest/ai-professional-01/ai-professional-01-domain3.html</x:v>
      </x:c>
    </x:row>
    <x:row r="82" ht="42" customHeight="1">
      <x:c r="A82" s="57" t="n">
        <x:v>77</x:v>
      </x:c>
      <x:c r="B82" s="42" t="str">
        <x:v>Structured and deterministic output controls</x:v>
      </x:c>
      <x:c r="C82" s="63" t="n">
        <x:v>6</x:v>
      </x:c>
      <x:c r="D82" s="42" t="str">
        <x:v>Layer 6 — Safety, security, and privacy</x:v>
      </x:c>
      <x:c r="E82" s="42" t="str">
        <x:v>Official skill-derived</x:v>
      </x:c>
      <x:c r="F82" s="42" t="str">
        <x:v>3.1.2; 3.1.3</x:v>
      </x:c>
      <x:c r="G82" s="42" t="str">
        <x:v>3.1 Implement input and output safety controls</x:v>
      </x:c>
      <x:c r="H82" s="42" t="str">
        <x:v>9, 35, 75</x:v>
      </x:c>
      <x:c r="I82" s="42" t="str"/>
      <x:c r="J82" s="63" t="str">
        <x:f>IF(AND(H82="",I82=""),"None",IF(I82="","Hard","Mixed"))</x:f>
        <x:v>Hard</x:v>
      </x:c>
      <x:c r="K82" s="63" t="str">
        <x:v>Level 3 — Apply/Implement</x:v>
      </x:c>
      <x:c r="L82" s="63" t="str">
        <x:v>Hard</x:v>
      </x:c>
      <x:c r="M82" s="42" t="str">
        <x:v>Complete an independent hands-on task and explain the key implementation decisions</x:v>
      </x:c>
      <x:c r="N82" s="42" t="str">
        <x:v>Procedural; Conditional; Normative</x:v>
      </x:c>
      <x:c r="O82" s="42" t="str">
        <x:v>Schema and deterministic-output control lab</x:v>
      </x:c>
      <x:c r="P82" s="43" t="str">
        <x:v>https://docs.aws.amazon.com/aws-certification/latest/ai-professional-01/ai-professional-01-domain3.html</x:v>
      </x:c>
    </x:row>
    <x:row r="83" ht="42" customHeight="1">
      <x:c r="A83" s="57" t="n">
        <x:v>78</x:v>
      </x:c>
      <x:c r="B83" s="42" t="str">
        <x:v>Prompt-injection and jailbreak threats</x:v>
      </x:c>
      <x:c r="C83" s="63" t="n">
        <x:v>6</x:v>
      </x:c>
      <x:c r="D83" s="42" t="str">
        <x:v>Layer 6 — Safety, security, and privacy</x:v>
      </x:c>
      <x:c r="E83" s="42" t="str">
        <x:v>Official skill-derived</x:v>
      </x:c>
      <x:c r="F83" s="42" t="str">
        <x:v>3.1.5</x:v>
      </x:c>
      <x:c r="G83" s="42" t="str">
        <x:v>3.1 Implement input and output safety controls</x:v>
      </x:c>
      <x:c r="H83" s="42" t="str">
        <x:v>5, 9, 61, 74</x:v>
      </x:c>
      <x:c r="I83" s="42" t="str"/>
      <x:c r="J83" s="63" t="str">
        <x:f>IF(AND(H83="",I83=""),"None",IF(I83="","Hard","Mixed"))</x:f>
        <x:v>Hard</x:v>
      </x:c>
      <x:c r="K83" s="63" t="str">
        <x:v>Level 4 — Select/Diagnose</x:v>
      </x:c>
      <x:c r="L83" s="63" t="str">
        <x:v>Hard</x:v>
      </x:c>
      <x:c r="M83" s="42" t="str">
        <x:v>Improve a prompt against a fixed test set and demonstrate that no critical regression was introduced</x:v>
      </x:c>
      <x:c r="N83" s="42" t="str">
        <x:v>Declarative; Causal; Normative</x:v>
      </x:c>
      <x:c r="O83" s="42" t="str">
        <x:v>Threat examples and attack-path analysis</x:v>
      </x:c>
      <x:c r="P83" s="43" t="str">
        <x:v>https://docs.aws.amazon.com/aws-certification/latest/ai-professional-01/ai-professional-01-domain3.html</x:v>
      </x:c>
    </x:row>
    <x:row r="84" ht="42" customHeight="1">
      <x:c r="A84" s="57" t="n">
        <x:v>79</x:v>
      </x:c>
      <x:c r="B84" s="42" t="str">
        <x:v>Adversarial testing and safety classifiers</x:v>
      </x:c>
      <x:c r="C84" s="63" t="n">
        <x:v>6</x:v>
      </x:c>
      <x:c r="D84" s="42" t="str">
        <x:v>Layer 6 — Safety, security, and privacy</x:v>
      </x:c>
      <x:c r="E84" s="42" t="str">
        <x:v>Official skill-derived</x:v>
      </x:c>
      <x:c r="F84" s="42" t="str">
        <x:v>3.1.5</x:v>
      </x:c>
      <x:c r="G84" s="42" t="str">
        <x:v>3.1 Implement input and output safety controls</x:v>
      </x:c>
      <x:c r="H84" s="42" t="str">
        <x:v>10, 74, 78</x:v>
      </x:c>
      <x:c r="I84" s="42" t="str"/>
      <x:c r="J84" s="63" t="str">
        <x:f>IF(AND(H84="",I84=""),"None",IF(I84="","Hard","Mixed"))</x:f>
        <x:v>Hard</x:v>
      </x:c>
      <x:c r="K84" s="63" t="str">
        <x:v>Level 4 — Select/Diagnose</x:v>
      </x:c>
      <x:c r="L84" s="63" t="str">
        <x:v>Soft</x:v>
      </x:c>
      <x:c r="M84" s="42" t="str">
        <x:v>Complete an independent hands-on task and explain the key implementation decisions</x:v>
      </x:c>
      <x:c r="N84" s="42" t="str">
        <x:v>Procedural; Causal; Normative; Tacit</x:v>
      </x:c>
      <x:c r="O84" s="42" t="str">
        <x:v>Red-team exercise and adversarial regression suite</x:v>
      </x:c>
      <x:c r="P84" s="43" t="str">
        <x:v>https://docs.aws.amazon.com/aws-certification/latest/ai-professional-01/ai-professional-01-domain3.html</x:v>
      </x:c>
    </x:row>
    <x:row r="85" ht="42" customHeight="1">
      <x:c r="A85" s="57" t="n">
        <x:v>80</x:v>
      </x:c>
      <x:c r="B85" s="42" t="str">
        <x:v>Defense-in-depth GenAI safety architecture</x:v>
      </x:c>
      <x:c r="C85" s="63" t="n">
        <x:v>6</x:v>
      </x:c>
      <x:c r="D85" s="42" t="str">
        <x:v>Layer 6 — Safety, security, and privacy</x:v>
      </x:c>
      <x:c r="E85" s="42" t="str">
        <x:v>Official skill-derived</x:v>
      </x:c>
      <x:c r="F85" s="42" t="str">
        <x:v>3.1.4</x:v>
      </x:c>
      <x:c r="G85" s="42" t="str">
        <x:v>3.1 Implement input and output safety controls</x:v>
      </x:c>
      <x:c r="H85" s="42" t="str">
        <x:v>74, 75, 76, 77, 78, 79</x:v>
      </x:c>
      <x:c r="I85" s="42" t="str"/>
      <x:c r="J85" s="63" t="str">
        <x:f>IF(AND(H85="",I85=""),"None",IF(I85="","Hard","Mixed"))</x:f>
        <x:v>Hard</x:v>
      </x:c>
      <x:c r="K85" s="63" t="str">
        <x:v>Level 4 — Select/Diagnose</x:v>
      </x:c>
      <x:c r="L85" s="63" t="str">
        <x:v>Hard</x:v>
      </x:c>
      <x:c r="M85" s="42" t="str">
        <x:v>Design a solution for a novel case and defend component choices, constraints, and residual risks</x:v>
      </x:c>
      <x:c r="N85" s="42" t="str">
        <x:v>Conceptual; Strategic; Normative</x:v>
      </x:c>
      <x:c r="O85" s="42" t="str">
        <x:v>Layered-defense architecture and bypass testing</x:v>
      </x:c>
      <x:c r="P85" s="43" t="str">
        <x:v>https://docs.aws.amazon.com/aws-certification/latest/ai-professional-01/ai-professional-01-domain3.html</x:v>
      </x:c>
    </x:row>
    <x:row r="86" ht="42" customHeight="1">
      <x:c r="A86" s="57" t="n">
        <x:v>81</x:v>
      </x:c>
      <x:c r="B86" s="42" t="str">
        <x:v>VPC endpoints and protected AI environments</x:v>
      </x:c>
      <x:c r="C86" s="63" t="n">
        <x:v>6</x:v>
      </x:c>
      <x:c r="D86" s="42" t="str">
        <x:v>Layer 6 — Safety, security, and privacy</x:v>
      </x:c>
      <x:c r="E86" s="42" t="str">
        <x:v>Official skill-derived</x:v>
      </x:c>
      <x:c r="F86" s="42" t="str">
        <x:v>3.2.1</x:v>
      </x:c>
      <x:c r="G86" s="42" t="str">
        <x:v>3.2 Implement data security and privacy controls</x:v>
      </x:c>
      <x:c r="H86" s="42" t="str">
        <x:v>5, 54, 55</x:v>
      </x:c>
      <x:c r="I86" s="42" t="str"/>
      <x:c r="J86" s="63" t="str">
        <x:f>IF(AND(H86="",I86=""),"None",IF(I86="","Hard","Mixed"))</x:f>
        <x:v>Hard</x:v>
      </x:c>
      <x:c r="K86" s="63" t="str">
        <x:v>Level 3 — Apply/Implement</x:v>
      </x:c>
      <x:c r="L86" s="63" t="str">
        <x:v>Hard</x:v>
      </x:c>
      <x:c r="M86" s="42" t="str">
        <x:v>Perform an independent deployment or pipeline task and verify rollback/recovery behavior</x:v>
      </x:c>
      <x:c r="N86" s="42" t="str">
        <x:v>Procedural; Embedded; Normative</x:v>
      </x:c>
      <x:c r="O86" s="42" t="str">
        <x:v>Private-connectivity lab and network validation</x:v>
      </x:c>
      <x:c r="P86" s="43" t="str">
        <x:v>https://docs.aws.amazon.com/aws-certification/latest/ai-professional-01/ai-professional-01-domain3.html</x:v>
      </x:c>
    </x:row>
    <x:row r="87" ht="42" customHeight="1">
      <x:c r="A87" s="57" t="n">
        <x:v>82</x:v>
      </x:c>
      <x:c r="B87" s="42" t="str">
        <x:v>IAM and granular data access for GenAI</x:v>
      </x:c>
      <x:c r="C87" s="63" t="n">
        <x:v>6</x:v>
      </x:c>
      <x:c r="D87" s="42" t="str">
        <x:v>Layer 6 — Safety, security, and privacy</x:v>
      </x:c>
      <x:c r="E87" s="42" t="str">
        <x:v>Official skill-derived</x:v>
      </x:c>
      <x:c r="F87" s="42" t="str">
        <x:v>2.3.3; 3.2.1</x:v>
      </x:c>
      <x:c r="G87" s="42" t="str">
        <x:v>2.3 Design and implement enterprise integration architectures; 3.2 Implement data security and privacy controls</x:v>
      </x:c>
      <x:c r="H87" s="42" t="str">
        <x:v>5, 54, 81</x:v>
      </x:c>
      <x:c r="I87" s="42" t="str"/>
      <x:c r="J87" s="63" t="str">
        <x:f>IF(AND(H87="",I87=""),"None",IF(I87="","Hard","Mixed"))</x:f>
        <x:v>Hard</x:v>
      </x:c>
      <x:c r="K87" s="63" t="str">
        <x:v>Level 3 — Apply/Implement</x:v>
      </x:c>
      <x:c r="L87" s="63" t="str">
        <x:v>Hard</x:v>
      </x:c>
      <x:c r="M87" s="42" t="str">
        <x:v>Apply the control to a scenario and prove prohibited access or data exposure is blocked</x:v>
      </x:c>
      <x:c r="N87" s="42" t="str">
        <x:v>Procedural; Conditional; Normative; Embedded</x:v>
      </x:c>
      <x:c r="O87" s="42" t="str">
        <x:v>Least-privilege IAM implementation lab</x:v>
      </x:c>
      <x:c r="P87" s="43" t="str">
        <x:v>https://docs.aws.amazon.com/aws-certification/latest/ai-professional-01/ai-professional-01.html</x:v>
      </x:c>
    </x:row>
    <x:row r="88" ht="42" customHeight="1">
      <x:c r="A88" s="57" t="n">
        <x:v>83</x:v>
      </x:c>
      <x:c r="B88" s="42" t="str">
        <x:v>PII and sensitive-data discovery</x:v>
      </x:c>
      <x:c r="C88" s="63" t="n">
        <x:v>6</x:v>
      </x:c>
      <x:c r="D88" s="42" t="str">
        <x:v>Layer 6 — Safety, security, and privacy</x:v>
      </x:c>
      <x:c r="E88" s="42" t="str">
        <x:v>Official skill-derived</x:v>
      </x:c>
      <x:c r="F88" s="42" t="str">
        <x:v>3.2.2</x:v>
      </x:c>
      <x:c r="G88" s="42" t="str">
        <x:v>3.2 Implement data security and privacy controls</x:v>
      </x:c>
      <x:c r="H88" s="42" t="str">
        <x:v>5, 11, 12</x:v>
      </x:c>
      <x:c r="I88" s="42" t="str"/>
      <x:c r="J88" s="63" t="str">
        <x:f>IF(AND(H88="",I88=""),"None",IF(I88="","Hard","Mixed"))</x:f>
        <x:v>Hard</x:v>
      </x:c>
      <x:c r="K88" s="63" t="str">
        <x:v>Level 3 — Apply/Implement</x:v>
      </x:c>
      <x:c r="L88" s="63" t="str">
        <x:v>Hard</x:v>
      </x:c>
      <x:c r="M88" s="42" t="str">
        <x:v>Apply the control to a scenario and prove prohibited access or data exposure is blocked</x:v>
      </x:c>
      <x:c r="N88" s="42" t="str">
        <x:v>Declarative; Procedural; Normative; Embedded</x:v>
      </x:c>
      <x:c r="O88" s="42" t="str">
        <x:v>PII and sensitive-data discovery laboratory</x:v>
      </x:c>
      <x:c r="P88" s="43" t="str">
        <x:v>https://docs.aws.amazon.com/aws-certification/latest/ai-professional-01/ai-professional-01-domain3.html</x:v>
      </x:c>
    </x:row>
    <x:row r="89" ht="42" customHeight="1">
      <x:c r="A89" s="57" t="n">
        <x:v>84</x:v>
      </x:c>
      <x:c r="B89" s="42" t="str">
        <x:v>Data masking, anonymization, and redaction</x:v>
      </x:c>
      <x:c r="C89" s="63" t="n">
        <x:v>6</x:v>
      </x:c>
      <x:c r="D89" s="42" t="str">
        <x:v>Layer 6 — Safety, security, and privacy</x:v>
      </x:c>
      <x:c r="E89" s="42" t="str">
        <x:v>Official skill-derived</x:v>
      </x:c>
      <x:c r="F89" s="42" t="str">
        <x:v>3.2.3</x:v>
      </x:c>
      <x:c r="G89" s="42" t="str">
        <x:v>3.2 Implement data security and privacy controls</x:v>
      </x:c>
      <x:c r="H89" s="42" t="str">
        <x:v>83</x:v>
      </x:c>
      <x:c r="I89" s="42" t="str"/>
      <x:c r="J89" s="63" t="str">
        <x:f>IF(AND(H89="",I89=""),"None",IF(I89="","Hard","Mixed"))</x:f>
        <x:v>Hard</x:v>
      </x:c>
      <x:c r="K89" s="63" t="str">
        <x:v>Level 3 — Apply/Implement</x:v>
      </x:c>
      <x:c r="L89" s="63" t="str">
        <x:v>Hard</x:v>
      </x:c>
      <x:c r="M89" s="42" t="str">
        <x:v>Apply the control to a scenario and prove prohibited access or data exposure is blocked</x:v>
      </x:c>
      <x:c r="N89" s="42" t="str">
        <x:v>Procedural; Conditional; Normative</x:v>
      </x:c>
      <x:c r="O89" s="42" t="str">
        <x:v>Masking/anonymization utility experiment</x:v>
      </x:c>
      <x:c r="P89" s="43" t="str">
        <x:v>https://docs.aws.amazon.com/aws-certification/latest/ai-professional-01/ai-professional-01-domain3.html</x:v>
      </x:c>
    </x:row>
    <x:row r="90" ht="42" customHeight="1">
      <x:c r="A90" s="57" t="n">
        <x:v>85</x:v>
      </x:c>
      <x:c r="B90" s="42" t="str">
        <x:v>Data retention, logging privacy, and lifecycle controls</x:v>
      </x:c>
      <x:c r="C90" s="63" t="n">
        <x:v>6</x:v>
      </x:c>
      <x:c r="D90" s="42" t="str">
        <x:v>Layer 6 — Safety, security, and privacy</x:v>
      </x:c>
      <x:c r="E90" s="42" t="str">
        <x:v>Official skill-derived</x:v>
      </x:c>
      <x:c r="F90" s="42" t="str">
        <x:v>3.2.2</x:v>
      </x:c>
      <x:c r="G90" s="42" t="str">
        <x:v>3.2 Implement data security and privacy controls</x:v>
      </x:c>
      <x:c r="H90" s="42" t="str">
        <x:v>5, 83, 84</x:v>
      </x:c>
      <x:c r="I90" s="42" t="str"/>
      <x:c r="J90" s="63" t="str">
        <x:f>IF(AND(H90="",I90=""),"None",IF(I90="","Hard","Mixed"))</x:f>
        <x:v>Hard</x:v>
      </x:c>
      <x:c r="K90" s="63" t="str">
        <x:v>Level 3 — Apply/Implement</x:v>
      </x:c>
      <x:c r="L90" s="63" t="str">
        <x:v>Hard</x:v>
      </x:c>
      <x:c r="M90" s="42" t="str">
        <x:v>Perform an independent deployment or pipeline task and verify rollback/recovery behavior</x:v>
      </x:c>
      <x:c r="N90" s="42" t="str">
        <x:v>Procedural; Strategic; Normative; Institutional</x:v>
      </x:c>
      <x:c r="O90" s="42" t="str">
        <x:v>Data-lifecycle mapping and retention-configuration exercise</x:v>
      </x:c>
      <x:c r="P90" s="43" t="str">
        <x:v>https://docs.aws.amazon.com/aws-certification/latest/ai-professional-01/ai-professional-01-domain3.html</x:v>
      </x:c>
    </x:row>
    <x:row r="91" ht="42" customHeight="1">
      <x:c r="A91" s="57" t="n">
        <x:v>86</x:v>
      </x:c>
      <x:c r="B91" s="42" t="str">
        <x:v>Data lineage and source attribution</x:v>
      </x:c>
      <x:c r="C91" s="63" t="n">
        <x:v>7</x:v>
      </x:c>
      <x:c r="D91" s="42" t="str">
        <x:v>Layer 7 — Governance and responsible AI</x:v>
      </x:c>
      <x:c r="E91" s="42" t="str">
        <x:v>Official skill-derived</x:v>
      </x:c>
      <x:c r="F91" s="42" t="str">
        <x:v>3.3.1; 3.3.2</x:v>
      </x:c>
      <x:c r="G91" s="42" t="str">
        <x:v>3.3 Implement AI governance and compliance mechanisms</x:v>
      </x:c>
      <x:c r="H91" s="42" t="str">
        <x:v>16, 24, 85</x:v>
      </x:c>
      <x:c r="I91" s="42" t="str"/>
      <x:c r="J91" s="63" t="str">
        <x:f>IF(AND(H91="",I91=""),"None",IF(I91="","Hard","Mixed"))</x:f>
        <x:v>Hard</x:v>
      </x:c>
      <x:c r="K91" s="63" t="str">
        <x:v>Level 3 — Apply/Implement</x:v>
      </x:c>
      <x:c r="L91" s="63" t="str">
        <x:v>Hard</x:v>
      </x:c>
      <x:c r="M91" s="42" t="str">
        <x:v>Complete an independent hands-on task and explain the key implementation decisions</x:v>
      </x:c>
      <x:c r="N91" s="42" t="str">
        <x:v>Conceptual; Procedural; Normative; Institutional</x:v>
      </x:c>
      <x:c r="O91" s="42" t="str">
        <x:v>Lineage and source-tracing laboratory</x:v>
      </x:c>
      <x:c r="P91" s="43" t="str">
        <x:v>https://docs.aws.amazon.com/aws-certification/latest/ai-professional-01/ai-professional-01-domain3.html</x:v>
      </x:c>
    </x:row>
    <x:row r="92" ht="42" customHeight="1">
      <x:c r="A92" s="57" t="n">
        <x:v>87</x:v>
      </x:c>
      <x:c r="B92" s="42" t="str">
        <x:v>Model cards and model documentation</x:v>
      </x:c>
      <x:c r="C92" s="63" t="n">
        <x:v>7</x:v>
      </x:c>
      <x:c r="D92" s="42" t="str">
        <x:v>Layer 7 — Governance and responsible AI</x:v>
      </x:c>
      <x:c r="E92" s="42" t="str">
        <x:v>Official skill-derived</x:v>
      </x:c>
      <x:c r="F92" s="42" t="str">
        <x:v>3.3.1; 3.4.3</x:v>
      </x:c>
      <x:c r="G92" s="42" t="str">
        <x:v>3.3 Implement AI governance and compliance mechanisms; 3.4 Implement responsible AI principles</x:v>
      </x:c>
      <x:c r="H92" s="42" t="str">
        <x:v>7, 39, 48, 86</x:v>
      </x:c>
      <x:c r="I92" s="42" t="str"/>
      <x:c r="J92" s="63" t="str">
        <x:f>IF(AND(H92="",I92=""),"None",IF(I92="","Hard","Mixed"))</x:f>
        <x:v>Hard</x:v>
      </x:c>
      <x:c r="K92" s="63" t="str">
        <x:v>Level 3 — Apply/Implement</x:v>
      </x:c>
      <x:c r="L92" s="63" t="str">
        <x:v>Soft</x:v>
      </x:c>
      <x:c r="M92" s="42" t="str">
        <x:v>Map requirements to controls, owners, evidence, and escalation; justify unresolved risks</x:v>
      </x:c>
      <x:c r="N92" s="42" t="str">
        <x:v>Declarative; Normative; Institutional</x:v>
      </x:c>
      <x:c r="O92" s="42" t="str">
        <x:v>Create and critique model cards</x:v>
      </x:c>
      <x:c r="P92" s="43" t="str">
        <x:v>https://docs.aws.amazon.com/aws-certification/latest/ai-professional-01/ai-professional-01-domain3.html</x:v>
      </x:c>
    </x:row>
    <x:row r="93" ht="42" customHeight="1">
      <x:c r="A93" s="57" t="n">
        <x:v>88</x:v>
      </x:c>
      <x:c r="B93" s="42" t="str">
        <x:v>Audit logging and decision traceability</x:v>
      </x:c>
      <x:c r="C93" s="63" t="n">
        <x:v>7</x:v>
      </x:c>
      <x:c r="D93" s="42" t="str">
        <x:v>Layer 7 — Governance and responsible AI</x:v>
      </x:c>
      <x:c r="E93" s="42" t="str">
        <x:v>Official skill-derived</x:v>
      </x:c>
      <x:c r="F93" s="42" t="str">
        <x:v>3.3.1; 3.3.2</x:v>
      </x:c>
      <x:c r="G93" s="42" t="str">
        <x:v>3.3 Implement AI governance and compliance mechanisms</x:v>
      </x:c>
      <x:c r="H93" s="42" t="str">
        <x:v>38, 85, 86, 87</x:v>
      </x:c>
      <x:c r="I93" s="42" t="str"/>
      <x:c r="J93" s="63" t="str">
        <x:f>IF(AND(H93="",I93=""),"None",IF(I93="","Hard","Mixed"))</x:f>
        <x:v>Hard</x:v>
      </x:c>
      <x:c r="K93" s="63" t="str">
        <x:v>Level 3 — Apply/Implement</x:v>
      </x:c>
      <x:c r="L93" s="63" t="str">
        <x:v>Hard</x:v>
      </x:c>
      <x:c r="M93" s="42" t="str">
        <x:v>Map requirements to controls, owners, evidence, and escalation; justify unresolved risks</x:v>
      </x:c>
      <x:c r="N93" s="42" t="str">
        <x:v>Procedural; Normative; Institutional; Embedded</x:v>
      </x:c>
      <x:c r="O93" s="42" t="str">
        <x:v>Audit-trail implementation and reconstruction</x:v>
      </x:c>
      <x:c r="P93" s="43" t="str">
        <x:v>https://docs.aws.amazon.com/aws-certification/latest/ai-professional-01/ai-professional-01-domain3.html</x:v>
      </x:c>
    </x:row>
    <x:row r="94" ht="42" customHeight="1">
      <x:c r="A94" s="57" t="n">
        <x:v>89</x:v>
      </x:c>
      <x:c r="B94" s="42" t="str">
        <x:v>Organizational AI governance and accountability</x:v>
      </x:c>
      <x:c r="C94" s="63" t="n">
        <x:v>7</x:v>
      </x:c>
      <x:c r="D94" s="42" t="str">
        <x:v>Layer 7 — Governance and responsible AI</x:v>
      </x:c>
      <x:c r="E94" s="42" t="str">
        <x:v>Official skill-derived</x:v>
      </x:c>
      <x:c r="F94" s="42" t="str">
        <x:v>3.3.3</x:v>
      </x:c>
      <x:c r="G94" s="42" t="str">
        <x:v>3.3 Implement AI governance and compliance mechanisms</x:v>
      </x:c>
      <x:c r="H94" s="42" t="str">
        <x:v>5, 54, 86, 88</x:v>
      </x:c>
      <x:c r="I94" s="42" t="str"/>
      <x:c r="J94" s="63" t="str">
        <x:f>IF(AND(H94="",I94=""),"None",IF(I94="","Hard","Mixed"))</x:f>
        <x:v>Hard</x:v>
      </x:c>
      <x:c r="K94" s="63" t="str">
        <x:v>Level 5 — Design/Defend</x:v>
      </x:c>
      <x:c r="L94" s="63" t="str">
        <x:v>Hard</x:v>
      </x:c>
      <x:c r="M94" s="42" t="str">
        <x:v>Map requirements to controls, owners, evidence, and escalation; justify unresolved risks</x:v>
      </x:c>
      <x:c r="N94" s="42" t="str">
        <x:v>Conceptual; Strategic; Normative; Institutional</x:v>
      </x:c>
      <x:c r="O94" s="42" t="str">
        <x:v>Governance operating-model case</x:v>
      </x:c>
      <x:c r="P94" s="43" t="str">
        <x:v>https://docs.aws.amazon.com/aws-certification/latest/ai-professional-01/ai-professional-01-domain3.html</x:v>
      </x:c>
    </x:row>
    <x:row r="95" ht="42" customHeight="1">
      <x:c r="A95" s="57" t="n">
        <x:v>90</x:v>
      </x:c>
      <x:c r="B95" s="42" t="str">
        <x:v>Policy-to-control mapping</x:v>
      </x:c>
      <x:c r="C95" s="63" t="n">
        <x:v>7</x:v>
      </x:c>
      <x:c r="D95" s="42" t="str">
        <x:v>Layer 7 — Governance and responsible AI</x:v>
      </x:c>
      <x:c r="E95" s="42" t="str">
        <x:v>Official skill-derived</x:v>
      </x:c>
      <x:c r="F95" s="42" t="str">
        <x:v>3.3.3; 3.4.3</x:v>
      </x:c>
      <x:c r="G95" s="42" t="str">
        <x:v>3.3 Implement AI governance and compliance mechanisms; 3.4 Implement responsible AI principles</x:v>
      </x:c>
      <x:c r="H95" s="42" t="str">
        <x:v>89</x:v>
      </x:c>
      <x:c r="I95" s="42" t="str"/>
      <x:c r="J95" s="63" t="str">
        <x:f>IF(AND(H95="",I95=""),"None",IF(I95="","Hard","Mixed"))</x:f>
        <x:v>Hard</x:v>
      </x:c>
      <x:c r="K95" s="63" t="str">
        <x:v>Level 4 — Select/Diagnose</x:v>
      </x:c>
      <x:c r="L95" s="63" t="str">
        <x:v>Hard</x:v>
      </x:c>
      <x:c r="M95" s="42" t="str">
        <x:v>Map requirements to controls, owners, evidence, and escalation; justify unresolved risks</x:v>
      </x:c>
      <x:c r="N95" s="42" t="str">
        <x:v>Conditional; Strategic; Normative; Institutional</x:v>
      </x:c>
      <x:c r="O95" s="42" t="str">
        <x:v>Policy-to-control mapping workshop</x:v>
      </x:c>
      <x:c r="P95" s="43" t="str">
        <x:v>https://docs.aws.amazon.com/aws-certification/latest/ai-professional-01/ai-professional-01-domain3.html</x:v>
      </x:c>
    </x:row>
    <x:row r="96" ht="42" customHeight="1">
      <x:c r="A96" s="57" t="n">
        <x:v>91</x:v>
      </x:c>
      <x:c r="B96" s="42" t="str">
        <x:v>Continuous policy, misuse, bias, and drift monitoring</x:v>
      </x:c>
      <x:c r="C96" s="63" t="n">
        <x:v>7</x:v>
      </x:c>
      <x:c r="D96" s="42" t="str">
        <x:v>Layer 7 — Governance and responsible AI</x:v>
      </x:c>
      <x:c r="E96" s="42" t="str">
        <x:v>Official skill-derived</x:v>
      </x:c>
      <x:c r="F96" s="42" t="str">
        <x:v>3.3.4</x:v>
      </x:c>
      <x:c r="G96" s="42" t="str">
        <x:v>3.3 Implement AI governance and compliance mechanisms</x:v>
      </x:c>
      <x:c r="H96" s="42" t="str">
        <x:v>10, 38, 79, 89, 90</x:v>
      </x:c>
      <x:c r="I96" s="42" t="str"/>
      <x:c r="J96" s="63" t="str">
        <x:f>IF(AND(H96="",I96=""),"None",IF(I96="","Hard","Mixed"))</x:f>
        <x:v>Hard</x:v>
      </x:c>
      <x:c r="K96" s="63" t="str">
        <x:v>Level 4 — Select/Diagnose</x:v>
      </x:c>
      <x:c r="L96" s="63" t="str">
        <x:v>Hard</x:v>
      </x:c>
      <x:c r="M96" s="42" t="str">
        <x:v>Map requirements to controls, owners, evidence, and escalation; justify unresolved risks</x:v>
      </x:c>
      <x:c r="N96" s="42" t="str">
        <x:v>Procedural; Causal; Strategic; Normative</x:v>
      </x:c>
      <x:c r="O96" s="42" t="str">
        <x:v>Governance-monitoring and violation simulation</x:v>
      </x:c>
      <x:c r="P96" s="43" t="str">
        <x:v>https://docs.aws.amazon.com/aws-certification/latest/ai-professional-01/ai-professional-01-domain3.html</x:v>
      </x:c>
    </x:row>
    <x:row r="97" ht="42" customHeight="1">
      <x:c r="A97" s="57" t="n">
        <x:v>92</x:v>
      </x:c>
      <x:c r="B97" s="42" t="str">
        <x:v>Transparency, evidence presentation, and uncertainty communication</x:v>
      </x:c>
      <x:c r="C97" s="63" t="n">
        <x:v>7</x:v>
      </x:c>
      <x:c r="D97" s="42" t="str">
        <x:v>Layer 7 — Governance and responsible AI</x:v>
      </x:c>
      <x:c r="E97" s="42" t="str">
        <x:v>Official skill-derived</x:v>
      </x:c>
      <x:c r="F97" s="42" t="str">
        <x:v>3.4.1</x:v>
      </x:c>
      <x:c r="G97" s="42" t="str">
        <x:v>3.4 Implement responsible AI principles</x:v>
      </x:c>
      <x:c r="H97" s="42" t="str">
        <x:v>76, 87, 89</x:v>
      </x:c>
      <x:c r="I97" s="42" t="str"/>
      <x:c r="J97" s="63" t="str">
        <x:f>IF(AND(H97="",I97=""),"None",IF(I97="","Hard","Mixed"))</x:f>
        <x:v>Hard</x:v>
      </x:c>
      <x:c r="K97" s="63" t="str">
        <x:v>Level 3 — Apply/Implement</x:v>
      </x:c>
      <x:c r="L97" s="63" t="str">
        <x:v>Soft</x:v>
      </x:c>
      <x:c r="M97" s="42" t="str">
        <x:v>Map requirements to controls, owners, evidence, and escalation; justify unresolved risks</x:v>
      </x:c>
      <x:c r="N97" s="42" t="str">
        <x:v>Conceptual; Conditional; Normative</x:v>
      </x:c>
      <x:c r="O97" s="42" t="str">
        <x:v>Transparency and uncertainty-communication design case</x:v>
      </x:c>
      <x:c r="P97" s="43" t="str">
        <x:v>https://docs.aws.amazon.com/aws-certification/latest/ai-professional-01/ai-professional-01-domain3.html</x:v>
      </x:c>
    </x:row>
    <x:row r="98" ht="42" customHeight="1">
      <x:c r="A98" s="57" t="n">
        <x:v>93</x:v>
      </x:c>
      <x:c r="B98" s="42" t="str">
        <x:v>Fairness metrics and subgroup evaluation</x:v>
      </x:c>
      <x:c r="C98" s="63" t="n">
        <x:v>7</x:v>
      </x:c>
      <x:c r="D98" s="42" t="str">
        <x:v>Layer 7 — Governance and responsible AI</x:v>
      </x:c>
      <x:c r="E98" s="42" t="str">
        <x:v>Official skill-derived</x:v>
      </x:c>
      <x:c r="F98" s="42" t="str">
        <x:v>3.4.2</x:v>
      </x:c>
      <x:c r="G98" s="42" t="str">
        <x:v>3.4 Implement responsible AI principles</x:v>
      </x:c>
      <x:c r="H98" s="42" t="str">
        <x:v>10, 74, 75, 92</x:v>
      </x:c>
      <x:c r="I98" s="42" t="str"/>
      <x:c r="J98" s="63" t="str">
        <x:f>IF(AND(H98="",I98=""),"None",IF(I98="","Hard","Mixed"))</x:f>
        <x:v>Hard</x:v>
      </x:c>
      <x:c r="K98" s="63" t="str">
        <x:v>Level 4 — Select/Diagnose</x:v>
      </x:c>
      <x:c r="L98" s="63" t="str">
        <x:v>Soft</x:v>
      </x:c>
      <x:c r="M98" s="42" t="str">
        <x:v>Map requirements to controls, owners, evidence, and escalation; justify unresolved risks</x:v>
      </x:c>
      <x:c r="N98" s="42" t="str">
        <x:v>Conceptual; Procedural; Causal; Normative</x:v>
      </x:c>
      <x:c r="O98" s="42" t="str">
        <x:v>Fairness-metric lab and subgroup analysis</x:v>
      </x:c>
      <x:c r="P98" s="43" t="str">
        <x:v>https://docs.aws.amazon.com/aws-certification/latest/ai-professional-01/ai-professional-01-domain3.html</x:v>
      </x:c>
    </x:row>
    <x:row r="99" ht="42" customHeight="1">
      <x:c r="A99" s="57" t="n">
        <x:v>94</x:v>
      </x:c>
      <x:c r="B99" s="42" t="str">
        <x:v>Responsible-AI policy enforcement</x:v>
      </x:c>
      <x:c r="C99" s="63" t="n">
        <x:v>7</x:v>
      </x:c>
      <x:c r="D99" s="42" t="str">
        <x:v>Layer 7 — Governance and responsible AI</x:v>
      </x:c>
      <x:c r="E99" s="42" t="str">
        <x:v>Official skill-derived</x:v>
      </x:c>
      <x:c r="F99" s="42" t="str">
        <x:v>3.4.3</x:v>
      </x:c>
      <x:c r="G99" s="42" t="str">
        <x:v>3.4 Implement responsible AI principles</x:v>
      </x:c>
      <x:c r="H99" s="42" t="str">
        <x:v>80, 89, 90, 93</x:v>
      </x:c>
      <x:c r="I99" s="42" t="str"/>
      <x:c r="J99" s="63" t="str">
        <x:f>IF(AND(H99="",I99=""),"None",IF(I99="","Hard","Mixed"))</x:f>
        <x:v>Hard</x:v>
      </x:c>
      <x:c r="K99" s="63" t="str">
        <x:v>Level 3 — Apply/Implement</x:v>
      </x:c>
      <x:c r="L99" s="63" t="str">
        <x:v>Soft</x:v>
      </x:c>
      <x:c r="M99" s="42" t="str">
        <x:v>Map requirements to controls, owners, evidence, and escalation; justify unresolved risks</x:v>
      </x:c>
      <x:c r="N99" s="42" t="str">
        <x:v>Procedural; Strategic; Normative; Institutional</x:v>
      </x:c>
      <x:c r="O99" s="42" t="str">
        <x:v>Policy-enforcement implementation exercise</x:v>
      </x:c>
      <x:c r="P99" s="43" t="str">
        <x:v>https://docs.aws.amazon.com/aws-certification/latest/ai-professional-01/ai-professional-01-domain3.html</x:v>
      </x:c>
    </x:row>
    <x:row r="100" ht="42" customHeight="1">
      <x:c r="A100" s="57" t="n">
        <x:v>95</x:v>
      </x:c>
      <x:c r="B100" s="42" t="str">
        <x:v>Regulatory readiness and governance evidence</x:v>
      </x:c>
      <x:c r="C100" s="63" t="n">
        <x:v>7</x:v>
      </x:c>
      <x:c r="D100" s="42" t="str">
        <x:v>Layer 7 — Governance and responsible AI</x:v>
      </x:c>
      <x:c r="E100" s="42" t="str">
        <x:v>Official skill-derived</x:v>
      </x:c>
      <x:c r="F100" s="42" t="str">
        <x:v>3.3.4; 3.4.3</x:v>
      </x:c>
      <x:c r="G100" s="42" t="str">
        <x:v>3.3 Implement AI governance and compliance mechanisms; 3.4 Implement responsible AI principles</x:v>
      </x:c>
      <x:c r="H100" s="42" t="str">
        <x:v>86, 87, 88, 89, 90, 91, 92, 93, 94</x:v>
      </x:c>
      <x:c r="I100" s="42" t="str"/>
      <x:c r="J100" s="63" t="str">
        <x:f>IF(AND(H100="",I100=""),"None",IF(I100="","Hard","Mixed"))</x:f>
        <x:v>Hard</x:v>
      </x:c>
      <x:c r="K100" s="63" t="str">
        <x:v>Level 5 — Design/Defend</x:v>
      </x:c>
      <x:c r="L100" s="63" t="str">
        <x:v>Soft</x:v>
      </x:c>
      <x:c r="M100" s="42" t="str">
        <x:v>Map requirements to controls, owners, evidence, and escalation; justify unresolved risks</x:v>
      </x:c>
      <x:c r="N100" s="42" t="str">
        <x:v>Strategic; Normative; Institutional</x:v>
      </x:c>
      <x:c r="O100" s="42" t="str">
        <x:v>Mock audit and governance-evidence package</x:v>
      </x:c>
      <x:c r="P100" s="43" t="str">
        <x:v>https://docs.aws.amazon.com/aws-certification/latest/ai-professional-01/ai-professional-01-domain3.html</x:v>
      </x:c>
    </x:row>
    <x:row r="101" ht="42" customHeight="1">
      <x:c r="A101" s="57" t="n">
        <x:v>96</x:v>
      </x:c>
      <x:c r="B101" s="42" t="str">
        <x:v>Token estimation, tracking, pruning, and prompt compression</x:v>
      </x:c>
      <x:c r="C101" s="63" t="n">
        <x:v>8</x:v>
      </x:c>
      <x:c r="D101" s="42" t="str">
        <x:v>Layer 8 — Cost, performance, and operations</x:v>
      </x:c>
      <x:c r="E101" s="42" t="str">
        <x:v>Official skill-derived</x:v>
      </x:c>
      <x:c r="F101" s="42" t="str">
        <x:v>4.1.1</x:v>
      </x:c>
      <x:c r="G101" s="42" t="str">
        <x:v>4.1 Implement cost optimization and resource efficiency strategies</x:v>
      </x:c>
      <x:c r="H101" s="42" t="str">
        <x:v>2, 10, 28</x:v>
      </x:c>
      <x:c r="I101" s="42" t="str"/>
      <x:c r="J101" s="63" t="str">
        <x:f>IF(AND(H101="",I101=""),"None",IF(I101="","Hard","Mixed"))</x:f>
        <x:v>Hard</x:v>
      </x:c>
      <x:c r="K101" s="63" t="str">
        <x:v>Level 3 — Apply/Implement</x:v>
      </x:c>
      <x:c r="L101" s="63" t="str">
        <x:v>Hard</x:v>
      </x:c>
      <x:c r="M101" s="42" t="str">
        <x:v>Improve a prompt against a fixed test set and demonstrate that no critical regression was introduced</x:v>
      </x:c>
      <x:c r="N101" s="42" t="str">
        <x:v>Procedural; Causal; Conditional</x:v>
      </x:c>
      <x:c r="O101" s="42" t="str">
        <x:v>Token profiling and prompt-compression experiment</x:v>
      </x:c>
      <x:c r="P101" s="43" t="str">
        <x:v>https://docs.aws.amazon.com/aws-certification/latest/ai-professional-01/ai-professional-01-domain4.html</x:v>
      </x:c>
    </x:row>
    <x:row r="102" ht="42" customHeight="1">
      <x:c r="A102" s="57" t="n">
        <x:v>97</x:v>
      </x:c>
      <x:c r="B102" s="42" t="str">
        <x:v>Response-size and context-window optimization</x:v>
      </x:c>
      <x:c r="C102" s="63" t="n">
        <x:v>8</x:v>
      </x:c>
      <x:c r="D102" s="42" t="str">
        <x:v>Layer 8 — Cost, performance, and operations</x:v>
      </x:c>
      <x:c r="E102" s="42" t="str">
        <x:v>Official skill-derived</x:v>
      </x:c>
      <x:c r="F102" s="42" t="str">
        <x:v>4.1.1</x:v>
      </x:c>
      <x:c r="G102" s="42" t="str">
        <x:v>4.1 Implement cost optimization and resource efficiency strategies</x:v>
      </x:c>
      <x:c r="H102" s="42" t="str">
        <x:v>2, 20, 96</x:v>
      </x:c>
      <x:c r="I102" s="42" t="str"/>
      <x:c r="J102" s="63" t="str">
        <x:f>IF(AND(H102="",I102=""),"None",IF(I102="","Hard","Mixed"))</x:f>
        <x:v>Hard</x:v>
      </x:c>
      <x:c r="K102" s="63" t="str">
        <x:v>Level 3 — Apply/Implement</x:v>
      </x:c>
      <x:c r="L102" s="63" t="str">
        <x:v>Hard</x:v>
      </x:c>
      <x:c r="M102" s="42" t="str">
        <x:v>Benchmark a baseline, apply one justified change, and explain the measured quality/cost/performance effect</x:v>
      </x:c>
      <x:c r="N102" s="42" t="str">
        <x:v>Procedural; Causal; Conditional</x:v>
      </x:c>
      <x:c r="O102" s="42" t="str">
        <x:v>Context-size and response-limit benchmark</x:v>
      </x:c>
      <x:c r="P102" s="43" t="str">
        <x:v>https://docs.aws.amazon.com/aws-certification/latest/ai-professional-01/ai-professional-01-domain4.html</x:v>
      </x:c>
    </x:row>
    <x:row r="103" ht="42" customHeight="1">
      <x:c r="A103" s="57" t="n">
        <x:v>98</x:v>
      </x:c>
      <x:c r="B103" s="42" t="str">
        <x:v>Cost-effective model selection and tiered model use</x:v>
      </x:c>
      <x:c r="C103" s="63" t="n">
        <x:v>8</x:v>
      </x:c>
      <x:c r="D103" s="42" t="str">
        <x:v>Layer 8 — Cost, performance, and operations</x:v>
      </x:c>
      <x:c r="E103" s="42" t="str">
        <x:v>Official skill-derived</x:v>
      </x:c>
      <x:c r="F103" s="42" t="str">
        <x:v>4.1.2; 2.2.3</x:v>
      </x:c>
      <x:c r="G103" s="42" t="str">
        <x:v>4.1 Implement cost optimization and resource efficiency strategies; 2.2 Implement model deployment strategies</x:v>
      </x:c>
      <x:c r="H103" s="42" t="str">
        <x:v>39, 40, 41</x:v>
      </x:c>
      <x:c r="I103" s="42" t="str">
        <x:v>44</x:v>
      </x:c>
      <x:c r="J103" s="63" t="str">
        <x:f>IF(AND(H103="",I103=""),"None",IF(I103="","Hard","Mixed"))</x:f>
        <x:v>Mixed</x:v>
      </x:c>
      <x:c r="K103" s="63" t="str">
        <x:v>Level 4 — Select/Diagnose</x:v>
      </x:c>
      <x:c r="L103" s="63" t="str">
        <x:v>Hard</x:v>
      </x:c>
      <x:c r="M103" s="42" t="str">
        <x:v>Benchmark a baseline, apply one justified change, and explain the measured quality/cost/performance effect</x:v>
      </x:c>
      <x:c r="N103" s="42" t="str">
        <x:v>Causal; Conditional; Strategic</x:v>
      </x:c>
      <x:c r="O103" s="42" t="str">
        <x:v>Tiered-model routing and cost exercise</x:v>
      </x:c>
      <x:c r="P103" s="43" t="str">
        <x:v>https://docs.aws.amazon.com/aws-certification/latest/ai-professional-01/ai-professional-01.html</x:v>
      </x:c>
    </x:row>
    <x:row r="104" ht="42" customHeight="1">
      <x:c r="A104" s="57" t="n">
        <x:v>99</x:v>
      </x:c>
      <x:c r="B104" s="42" t="str">
        <x:v>Semantic, prompt, deterministic, and edge caching</x:v>
      </x:c>
      <x:c r="C104" s="63" t="n">
        <x:v>8</x:v>
      </x:c>
      <x:c r="D104" s="42" t="str">
        <x:v>Layer 8 — Cost, performance, and operations</x:v>
      </x:c>
      <x:c r="E104" s="42" t="str">
        <x:v>Official skill-derived</x:v>
      </x:c>
      <x:c r="F104" s="42" t="str">
        <x:v>4.1.4</x:v>
      </x:c>
      <x:c r="G104" s="42" t="str">
        <x:v>4.1 Implement cost optimization and resource efficiency strategies</x:v>
      </x:c>
      <x:c r="H104" s="42" t="str">
        <x:v>20, 32, 96</x:v>
      </x:c>
      <x:c r="I104" s="42" t="str"/>
      <x:c r="J104" s="63" t="str">
        <x:f>IF(AND(H104="",I104=""),"None",IF(I104="","Hard","Mixed"))</x:f>
        <x:v>Hard</x:v>
      </x:c>
      <x:c r="K104" s="63" t="str">
        <x:v>Level 3 — Apply/Implement</x:v>
      </x:c>
      <x:c r="L104" s="63" t="str">
        <x:v>Hard</x:v>
      </x:c>
      <x:c r="M104" s="42" t="str">
        <x:v>Benchmark a baseline, apply one justified change, and explain the measured quality/cost/performance effect</x:v>
      </x:c>
      <x:c r="N104" s="42" t="str">
        <x:v>Conceptual; Procedural; Causal; Conditional</x:v>
      </x:c>
      <x:c r="O104" s="42" t="str">
        <x:v>Caching laboratory including stale-data and privacy tests</x:v>
      </x:c>
      <x:c r="P104" s="43" t="str">
        <x:v>https://docs.aws.amazon.com/aws-certification/latest/ai-professional-01/ai-professional-01-domain4.html</x:v>
      </x:c>
    </x:row>
    <x:row r="105" ht="42" customHeight="1">
      <x:c r="A105" s="57" t="n">
        <x:v>100</x:v>
      </x:c>
      <x:c r="B105" s="42" t="str">
        <x:v>Batching and batch inference</x:v>
      </x:c>
      <x:c r="C105" s="63" t="n">
        <x:v>8</x:v>
      </x:c>
      <x:c r="D105" s="42" t="str">
        <x:v>Layer 8 — Cost, performance, and operations</x:v>
      </x:c>
      <x:c r="E105" s="42" t="str">
        <x:v>Official skill-derived</x:v>
      </x:c>
      <x:c r="F105" s="42" t="str">
        <x:v>4.1.3; 4.2.3</x:v>
      </x:c>
      <x:c r="G105" s="42" t="str">
        <x:v>4.1 Implement cost optimization and resource efficiency strategies; 4.2 Optimize application performance</x:v>
      </x:c>
      <x:c r="H105" s="42" t="str">
        <x:v>33, 44</x:v>
      </x:c>
      <x:c r="I105" s="42" t="str"/>
      <x:c r="J105" s="63" t="str">
        <x:f>IF(AND(H105="",I105=""),"None",IF(I105="","Hard","Mixed"))</x:f>
        <x:v>Hard</x:v>
      </x:c>
      <x:c r="K105" s="63" t="str">
        <x:v>Level 3 — Apply/Implement</x:v>
      </x:c>
      <x:c r="L105" s="63" t="str">
        <x:v>Soft</x:v>
      </x:c>
      <x:c r="M105" s="42" t="str">
        <x:v>Benchmark a baseline, apply one justified change, and explain the measured quality/cost/performance effect</x:v>
      </x:c>
      <x:c r="N105" s="42" t="str">
        <x:v>Procedural; Causal; Conditional</x:v>
      </x:c>
      <x:c r="O105" s="42" t="str">
        <x:v>Batch-versus-real-time benchmark</x:v>
      </x:c>
      <x:c r="P105" s="43" t="str">
        <x:v>https://docs.aws.amazon.com/aws-certification/latest/ai-professional-01/ai-professional-01-domain4.html</x:v>
      </x:c>
    </x:row>
    <x:row r="106" ht="42" customHeight="1">
      <x:c r="A106" s="57" t="n">
        <x:v>101</x:v>
      </x:c>
      <x:c r="B106" s="42" t="str">
        <x:v>Throughput and concurrency management</x:v>
      </x:c>
      <x:c r="C106" s="63" t="n">
        <x:v>8</x:v>
      </x:c>
      <x:c r="D106" s="42" t="str">
        <x:v>Layer 8 — Cost, performance, and operations</x:v>
      </x:c>
      <x:c r="E106" s="42" t="str">
        <x:v>Official skill-derived</x:v>
      </x:c>
      <x:c r="F106" s="42" t="str">
        <x:v>4.1.3; 4.2.3</x:v>
      </x:c>
      <x:c r="G106" s="42" t="str">
        <x:v>4.1 Implement cost optimization and resource efficiency strategies; 4.2 Optimize application performance</x:v>
      </x:c>
      <x:c r="H106" s="42" t="str">
        <x:v>34, 36, 44, 100</x:v>
      </x:c>
      <x:c r="I106" s="42" t="str"/>
      <x:c r="J106" s="63" t="str">
        <x:f>IF(AND(H106="",I106=""),"None",IF(I106="","Hard","Mixed"))</x:f>
        <x:v>Hard</x:v>
      </x:c>
      <x:c r="K106" s="63" t="str">
        <x:v>Level 3 — Apply/Implement</x:v>
      </x:c>
      <x:c r="L106" s="63" t="str">
        <x:v>Hard</x:v>
      </x:c>
      <x:c r="M106" s="42" t="str">
        <x:v>Benchmark a baseline, apply one justified change, and explain the measured quality/cost/performance effect</x:v>
      </x:c>
      <x:c r="N106" s="42" t="str">
        <x:v>Conceptual; Procedural; Causal</x:v>
      </x:c>
      <x:c r="O106" s="42" t="str">
        <x:v>Load and concurrency testing</x:v>
      </x:c>
      <x:c r="P106" s="43" t="str">
        <x:v>https://docs.aws.amazon.com/aws-certification/latest/ai-professional-01/ai-professional-01-domain4.html</x:v>
      </x:c>
    </x:row>
    <x:row r="107" ht="42" customHeight="1">
      <x:c r="A107" s="57" t="n">
        <x:v>102</x:v>
      </x:c>
      <x:c r="B107" s="42" t="str">
        <x:v>Capacity planning, provisioned throughput, and autoscaling</x:v>
      </x:c>
      <x:c r="C107" s="63" t="n">
        <x:v>8</x:v>
      </x:c>
      <x:c r="D107" s="42" t="str">
        <x:v>Layer 8 — Cost, performance, and operations</x:v>
      </x:c>
      <x:c r="E107" s="42" t="str">
        <x:v>Official skill-derived</x:v>
      </x:c>
      <x:c r="F107" s="42" t="str">
        <x:v>4.1.3; 4.2.5</x:v>
      </x:c>
      <x:c r="G107" s="42" t="str">
        <x:v>4.1 Implement cost optimization and resource efficiency strategies; 4.2 Optimize application performance</x:v>
      </x:c>
      <x:c r="H107" s="42" t="str">
        <x:v>44, 101</x:v>
      </x:c>
      <x:c r="I107" s="42" t="str"/>
      <x:c r="J107" s="63" t="str">
        <x:f>IF(AND(H107="",I107=""),"None",IF(I107="","Hard","Mixed"))</x:f>
        <x:v>Hard</x:v>
      </x:c>
      <x:c r="K107" s="63" t="str">
        <x:v>Level 4 — Select/Diagnose</x:v>
      </x:c>
      <x:c r="L107" s="63" t="str">
        <x:v>Hard</x:v>
      </x:c>
      <x:c r="M107" s="42" t="str">
        <x:v>Benchmark a baseline, apply one justified change, and explain the measured quality/cost/performance effect</x:v>
      </x:c>
      <x:c r="N107" s="42" t="str">
        <x:v>Conceptual; Causal; Conditional; Strategic</x:v>
      </x:c>
      <x:c r="O107" s="42" t="str">
        <x:v>Capacity model and autoscaling simulation</x:v>
      </x:c>
      <x:c r="P107" s="43" t="str">
        <x:v>https://docs.aws.amazon.com/aws-certification/latest/ai-professional-01/ai-professional-01-domain4.html</x:v>
      </x:c>
    </x:row>
    <x:row r="108" ht="42" customHeight="1">
      <x:c r="A108" s="57" t="n">
        <x:v>103</x:v>
      </x:c>
      <x:c r="B108" s="42" t="str">
        <x:v>Latency decomposition, streaming, parallelism, and precomputation</x:v>
      </x:c>
      <x:c r="C108" s="63" t="n">
        <x:v>8</x:v>
      </x:c>
      <x:c r="D108" s="42" t="str">
        <x:v>Layer 8 — Cost, performance, and operations</x:v>
      </x:c>
      <x:c r="E108" s="42" t="str">
        <x:v>Official skill-derived</x:v>
      </x:c>
      <x:c r="F108" s="42" t="str">
        <x:v>4.2.1</x:v>
      </x:c>
      <x:c r="G108" s="42" t="str">
        <x:v>4.2 Optimize application performance</x:v>
      </x:c>
      <x:c r="H108" s="42" t="str">
        <x:v>34, 37, 101</x:v>
      </x:c>
      <x:c r="I108" s="42" t="str"/>
      <x:c r="J108" s="63" t="str">
        <x:f>IF(AND(H108="",I108=""),"None",IF(I108="","Hard","Mixed"))</x:f>
        <x:v>Hard</x:v>
      </x:c>
      <x:c r="K108" s="63" t="str">
        <x:v>Level 4 — Select/Diagnose</x:v>
      </x:c>
      <x:c r="L108" s="63" t="str">
        <x:v>Hard</x:v>
      </x:c>
      <x:c r="M108" s="42" t="str">
        <x:v>Benchmark a baseline, apply one justified change, and explain the measured quality/cost/performance effect</x:v>
      </x:c>
      <x:c r="N108" s="42" t="str">
        <x:v>Causal; Conditional; Strategic</x:v>
      </x:c>
      <x:c r="O108" s="42" t="str">
        <x:v>Latency decomposition and parallel/streaming experiment</x:v>
      </x:c>
      <x:c r="P108" s="43" t="str">
        <x:v>https://docs.aws.amazon.com/aws-certification/latest/ai-professional-01/ai-professional-01-domain4.html</x:v>
      </x:c>
    </x:row>
    <x:row r="109" ht="42" customHeight="1">
      <x:c r="A109" s="57" t="n">
        <x:v>104</x:v>
      </x:c>
      <x:c r="B109" s="42" t="str">
        <x:v>Retrieval and vector-index performance optimization</x:v>
      </x:c>
      <x:c r="C109" s="63" t="n">
        <x:v>8</x:v>
      </x:c>
      <x:c r="D109" s="42" t="str">
        <x:v>Layer 8 — Cost, performance, and operations</x:v>
      </x:c>
      <x:c r="E109" s="42" t="str">
        <x:v>Official skill-derived</x:v>
      </x:c>
      <x:c r="F109" s="42" t="str">
        <x:v>4.2.2; 4.2.6</x:v>
      </x:c>
      <x:c r="G109" s="42" t="str">
        <x:v>4.2 Optimize application performance</x:v>
      </x:c>
      <x:c r="H109" s="42" t="str">
        <x:v>18, 21, 22, 26</x:v>
      </x:c>
      <x:c r="I109" s="42" t="str"/>
      <x:c r="J109" s="63" t="str">
        <x:f>IF(AND(H109="",I109=""),"None",IF(I109="","Hard","Mixed"))</x:f>
        <x:v>Hard</x:v>
      </x:c>
      <x:c r="K109" s="63" t="str">
        <x:v>Level 4 — Select/Diagnose</x:v>
      </x:c>
      <x:c r="L109" s="63" t="str">
        <x:v>Hard</x:v>
      </x:c>
      <x:c r="M109" s="42" t="str">
        <x:v>Benchmark a baseline, apply one justified change, and explain the measured quality/cost/performance effect</x:v>
      </x:c>
      <x:c r="N109" s="42" t="str">
        <x:v>Procedural; Causal; Conditional; Embedded</x:v>
      </x:c>
      <x:c r="O109" s="42" t="str">
        <x:v>Vector-query and index-performance benchmark</x:v>
      </x:c>
      <x:c r="P109" s="43" t="str">
        <x:v>https://docs.aws.amazon.com/aws-certification/latest/ai-professional-01/ai-professional-01-domain4.html</x:v>
      </x:c>
    </x:row>
    <x:row r="110" ht="42" customHeight="1">
      <x:c r="A110" s="57" t="n">
        <x:v>105</x:v>
      </x:c>
      <x:c r="B110" s="42" t="str">
        <x:v>FM parameter optimization and A/B testing</x:v>
      </x:c>
      <x:c r="C110" s="63" t="n">
        <x:v>8</x:v>
      </x:c>
      <x:c r="D110" s="42" t="str">
        <x:v>Layer 8 — Cost, performance, and operations</x:v>
      </x:c>
      <x:c r="E110" s="42" t="str">
        <x:v>Official skill-derived</x:v>
      </x:c>
      <x:c r="F110" s="42" t="str">
        <x:v>4.2.4</x:v>
      </x:c>
      <x:c r="G110" s="42" t="str">
        <x:v>4.2 Optimize application performance</x:v>
      </x:c>
      <x:c r="H110" s="42" t="str">
        <x:v>2, 10, 39</x:v>
      </x:c>
      <x:c r="I110" s="42" t="str"/>
      <x:c r="J110" s="63" t="str">
        <x:f>IF(AND(H110="",I110=""),"None",IF(I110="","Hard","Mixed"))</x:f>
        <x:v>Hard</x:v>
      </x:c>
      <x:c r="K110" s="63" t="str">
        <x:v>Level 3 — Apply/Implement</x:v>
      </x:c>
      <x:c r="L110" s="63" t="str">
        <x:v>Soft</x:v>
      </x:c>
      <x:c r="M110" s="42" t="str">
        <x:v>Benchmark a baseline, apply one justified change, and explain the measured quality/cost/performance effect</x:v>
      </x:c>
      <x:c r="N110" s="42" t="str">
        <x:v>Procedural; Causal; Conditional</x:v>
      </x:c>
      <x:c r="O110" s="42" t="str">
        <x:v>Model-parameter A/B experiment</x:v>
      </x:c>
      <x:c r="P110" s="43" t="str">
        <x:v>https://docs.aws.amazon.com/aws-certification/latest/ai-professional-01/ai-professional-01-domain4.html</x:v>
      </x:c>
    </x:row>
    <x:row r="111" ht="42" customHeight="1">
      <x:c r="A111" s="57" t="n">
        <x:v>106</x:v>
      </x:c>
      <x:c r="B111" s="42" t="str">
        <x:v>End-to-end GenAI workflow profiling</x:v>
      </x:c>
      <x:c r="C111" s="63" t="n">
        <x:v>8</x:v>
      </x:c>
      <x:c r="D111" s="42" t="str">
        <x:v>Layer 8 — Cost, performance, and operations</x:v>
      </x:c>
      <x:c r="E111" s="42" t="str">
        <x:v>Official skill-derived</x:v>
      </x:c>
      <x:c r="F111" s="42" t="str">
        <x:v>4.2.6</x:v>
      </x:c>
      <x:c r="G111" s="42" t="str">
        <x:v>4.2 Optimize application performance</x:v>
      </x:c>
      <x:c r="H111" s="42" t="str">
        <x:v>38, 97, 98, 99, 100, 101, 102, 103, 104, 105</x:v>
      </x:c>
      <x:c r="I111" s="42" t="str"/>
      <x:c r="J111" s="63" t="str">
        <x:f>IF(AND(H111="",I111=""),"None",IF(I111="","Hard","Mixed"))</x:f>
        <x:v>Hard</x:v>
      </x:c>
      <x:c r="K111" s="63" t="str">
        <x:v>Level 4 — Select/Diagnose</x:v>
      </x:c>
      <x:c r="L111" s="63" t="str">
        <x:v>Hard</x:v>
      </x:c>
      <x:c r="M111" s="42" t="str">
        <x:v>Benchmark a baseline, apply one justified change, and explain the measured quality/cost/performance effect</x:v>
      </x:c>
      <x:c r="N111" s="42" t="str">
        <x:v>Diagnostic/Causal; Procedural; Strategic; Tacit</x:v>
      </x:c>
      <x:c r="O111" s="42" t="str">
        <x:v>End-to-end profiling and bottleneck-removal lab</x:v>
      </x:c>
      <x:c r="P111" s="43" t="str">
        <x:v>https://docs.aws.amazon.com/aws-certification/latest/ai-professional-01/ai-professional-01-domain4.html</x:v>
      </x:c>
    </x:row>
    <x:row r="112" ht="42" customHeight="1">
      <x:c r="A112" s="57" t="n">
        <x:v>107</x:v>
      </x:c>
      <x:c r="B112" s="42" t="str">
        <x:v>GenAI operational metrics, logs, traces, and dashboards</x:v>
      </x:c>
      <x:c r="C112" s="63" t="n">
        <x:v>9</x:v>
      </x:c>
      <x:c r="D112" s="42" t="str">
        <x:v>Layer 9 — Monitoring, evaluation, and troubleshooting</x:v>
      </x:c>
      <x:c r="E112" s="42" t="str">
        <x:v>Official skill-derived</x:v>
      </x:c>
      <x:c r="F112" s="42" t="str">
        <x:v>4.3.1</x:v>
      </x:c>
      <x:c r="G112" s="42" t="str">
        <x:v>4.3 Implement monitoring systems for GenAI applications</x:v>
      </x:c>
      <x:c r="H112" s="42" t="str">
        <x:v>38, 72, 106</x:v>
      </x:c>
      <x:c r="I112" s="42" t="str"/>
      <x:c r="J112" s="63" t="str">
        <x:f>IF(AND(H112="",I112=""),"None",IF(I112="","Hard","Mixed"))</x:f>
        <x:v>Hard</x:v>
      </x:c>
      <x:c r="K112" s="63" t="str">
        <x:v>Level 3 — Apply/Implement</x:v>
      </x:c>
      <x:c r="L112" s="63" t="str">
        <x:v>Hard</x:v>
      </x:c>
      <x:c r="M112" s="42" t="str">
        <x:v>Instrument the system, detect an injected anomaly, and identify the affected component</x:v>
      </x:c>
      <x:c r="N112" s="42" t="str">
        <x:v>Conceptual; Procedural; Embedded</x:v>
      </x:c>
      <x:c r="O112" s="42" t="str">
        <x:v>Observability model and dashboard implementation</x:v>
      </x:c>
      <x:c r="P112" s="43" t="str">
        <x:v>https://docs.aws.amazon.com/aws-certification/latest/ai-professional-01/ai-professional-01-domain4.html</x:v>
      </x:c>
    </x:row>
    <x:row r="113" ht="42" customHeight="1">
      <x:c r="A113" s="57" t="n">
        <x:v>108</x:v>
      </x:c>
      <x:c r="B113" s="42" t="str">
        <x:v>Token, cost, latency, throughput, and utilization monitoring</x:v>
      </x:c>
      <x:c r="C113" s="63" t="n">
        <x:v>9</x:v>
      </x:c>
      <x:c r="D113" s="42" t="str">
        <x:v>Layer 9 — Monitoring, evaluation, and troubleshooting</x:v>
      </x:c>
      <x:c r="E113" s="42" t="str">
        <x:v>Official skill-derived</x:v>
      </x:c>
      <x:c r="F113" s="42" t="str">
        <x:v>4.3.2</x:v>
      </x:c>
      <x:c r="G113" s="42" t="str">
        <x:v>4.3 Implement monitoring systems for GenAI applications</x:v>
      </x:c>
      <x:c r="H113" s="42" t="str">
        <x:v>96, 101, 102, 103, 107</x:v>
      </x:c>
      <x:c r="I113" s="42" t="str"/>
      <x:c r="J113" s="63" t="str">
        <x:f>IF(AND(H113="",I113=""),"None",IF(I113="","Hard","Mixed"))</x:f>
        <x:v>Hard</x:v>
      </x:c>
      <x:c r="K113" s="63" t="str">
        <x:v>Level 3 — Apply/Implement</x:v>
      </x:c>
      <x:c r="L113" s="63" t="str">
        <x:v>Hard</x:v>
      </x:c>
      <x:c r="M113" s="42" t="str">
        <x:v>Instrument the system, detect an injected anomaly, and identify the affected component</x:v>
      </x:c>
      <x:c r="N113" s="42" t="str">
        <x:v>Procedural; Causal; Embedded</x:v>
      </x:c>
      <x:c r="O113" s="42" t="str">
        <x:v>Instrument the application and analyze operational metrics</x:v>
      </x:c>
      <x:c r="P113" s="43" t="str">
        <x:v>https://docs.aws.amazon.com/aws-certification/latest/ai-professional-01/ai-professional-01-domain4.html</x:v>
      </x:c>
    </x:row>
    <x:row r="114" ht="42" customHeight="1">
      <x:c r="A114" s="57" t="n">
        <x:v>109</x:v>
      </x:c>
      <x:c r="B114" s="42" t="str">
        <x:v>Prompt effectiveness, response quality, hallucination, and drift monitoring</x:v>
      </x:c>
      <x:c r="C114" s="63" t="n">
        <x:v>9</x:v>
      </x:c>
      <x:c r="D114" s="42" t="str">
        <x:v>Layer 9 — Monitoring, evaluation, and troubleshooting</x:v>
      </x:c>
      <x:c r="E114" s="42" t="str">
        <x:v>Official skill-derived</x:v>
      </x:c>
      <x:c r="F114" s="42" t="str">
        <x:v>4.3.2; 4.3.6</x:v>
      </x:c>
      <x:c r="G114" s="42" t="str">
        <x:v>4.3 Implement monitoring systems for GenAI applications</x:v>
      </x:c>
      <x:c r="H114" s="42" t="str">
        <x:v>10, 30, 76, 107</x:v>
      </x:c>
      <x:c r="I114" s="42" t="str"/>
      <x:c r="J114" s="63" t="str">
        <x:f>IF(AND(H114="",I114=""),"None",IF(I114="","Hard","Mixed"))</x:f>
        <x:v>Hard</x:v>
      </x:c>
      <x:c r="K114" s="63" t="str">
        <x:v>Level 4 — Select/Diagnose</x:v>
      </x:c>
      <x:c r="L114" s="63" t="str">
        <x:v>Hard</x:v>
      </x:c>
      <x:c r="M114" s="42" t="str">
        <x:v>Instrument the system, detect an injected anomaly, and identify the affected component</x:v>
      </x:c>
      <x:c r="N114" s="42" t="str">
        <x:v>Procedural; Causal; Conditional; Embedded</x:v>
      </x:c>
      <x:c r="O114" s="42" t="str">
        <x:v>Quality, hallucination, and drift-monitoring lab</x:v>
      </x:c>
      <x:c r="P114" s="43" t="str">
        <x:v>https://docs.aws.amazon.com/aws-certification/latest/ai-professional-01/ai-professional-01-domain4.html</x:v>
      </x:c>
    </x:row>
    <x:row r="115" ht="42" customHeight="1">
      <x:c r="A115" s="57" t="n">
        <x:v>110</x:v>
      </x:c>
      <x:c r="B115" s="42" t="str">
        <x:v>Vector-store monitoring and index-health management</x:v>
      </x:c>
      <x:c r="C115" s="63" t="n">
        <x:v>9</x:v>
      </x:c>
      <x:c r="D115" s="42" t="str">
        <x:v>Layer 9 — Monitoring, evaluation, and troubleshooting</x:v>
      </x:c>
      <x:c r="E115" s="42" t="str">
        <x:v>Official skill-derived</x:v>
      </x:c>
      <x:c r="F115" s="42" t="str">
        <x:v>4.3.5</x:v>
      </x:c>
      <x:c r="G115" s="42" t="str">
        <x:v>4.3 Implement monitoring systems for GenAI applications</x:v>
      </x:c>
      <x:c r="H115" s="42" t="str">
        <x:v>18, 24, 104, 107</x:v>
      </x:c>
      <x:c r="I115" s="42" t="str"/>
      <x:c r="J115" s="63" t="str">
        <x:f>IF(AND(H115="",I115=""),"None",IF(I115="","Hard","Mixed"))</x:f>
        <x:v>Hard</x:v>
      </x:c>
      <x:c r="K115" s="63" t="str">
        <x:v>Level 3 — Apply/Implement</x:v>
      </x:c>
      <x:c r="L115" s="63" t="str">
        <x:v>Soft</x:v>
      </x:c>
      <x:c r="M115" s="42" t="str">
        <x:v>Instrument the system, detect an injected anomaly, and identify the affected component</x:v>
      </x:c>
      <x:c r="N115" s="42" t="str">
        <x:v>Procedural; Diagnostic/Causal; Embedded</x:v>
      </x:c>
      <x:c r="O115" s="42" t="str">
        <x:v>Vector-index health incident laboratory</x:v>
      </x:c>
      <x:c r="P115" s="43" t="str">
        <x:v>https://docs.aws.amazon.com/aws-certification/latest/ai-professional-01/ai-professional-01-domain4.html</x:v>
      </x:c>
    </x:row>
    <x:row r="116" ht="42" customHeight="1">
      <x:c r="A116" s="57" t="n">
        <x:v>111</x:v>
      </x:c>
      <x:c r="B116" s="42" t="str">
        <x:v>Tool-call and multi-agent coordination monitoring</x:v>
      </x:c>
      <x:c r="C116" s="63" t="n">
        <x:v>9</x:v>
      </x:c>
      <x:c r="D116" s="42" t="str">
        <x:v>Layer 9 — Monitoring, evaluation, and troubleshooting</x:v>
      </x:c>
      <x:c r="E116" s="42" t="str">
        <x:v>Official skill-derived</x:v>
      </x:c>
      <x:c r="F116" s="42" t="str">
        <x:v>4.3.4</x:v>
      </x:c>
      <x:c r="G116" s="42" t="str">
        <x:v>4.3 Implement monitoring systems for GenAI applications</x:v>
      </x:c>
      <x:c r="H116" s="42" t="str">
        <x:v>67, 72, 107</x:v>
      </x:c>
      <x:c r="I116" s="42" t="str"/>
      <x:c r="J116" s="63" t="str">
        <x:f>IF(AND(H116="",I116=""),"None",IF(I116="","Hard","Mixed"))</x:f>
        <x:v>Hard</x:v>
      </x:c>
      <x:c r="K116" s="63" t="str">
        <x:v>Level 3 — Apply/Implement</x:v>
      </x:c>
      <x:c r="L116" s="63" t="str">
        <x:v>Soft</x:v>
      </x:c>
      <x:c r="M116" s="42" t="str">
        <x:v>Instrument the system, detect an injected anomaly, and identify the affected component</x:v>
      </x:c>
      <x:c r="N116" s="42" t="str">
        <x:v>Procedural; Diagnostic/Causal; Embedded</x:v>
      </x:c>
      <x:c r="O116" s="42" t="str">
        <x:v>Tool and agent trace-anomaly laboratory</x:v>
      </x:c>
      <x:c r="P116" s="43" t="str">
        <x:v>https://docs.aws.amazon.com/aws-certification/latest/ai-professional-01/ai-professional-01-domain4.html</x:v>
      </x:c>
    </x:row>
    <x:row r="117" ht="42" customHeight="1">
      <x:c r="A117" s="57" t="n">
        <x:v>112</x:v>
      </x:c>
      <x:c r="B117" s="42" t="str">
        <x:v>Business, compliance, forensic, and user-impact observability</x:v>
      </x:c>
      <x:c r="C117" s="63" t="n">
        <x:v>9</x:v>
      </x:c>
      <x:c r="D117" s="42" t="str">
        <x:v>Layer 9 — Monitoring, evaluation, and troubleshooting</x:v>
      </x:c>
      <x:c r="E117" s="42" t="str">
        <x:v>Official skill-derived</x:v>
      </x:c>
      <x:c r="F117" s="42" t="str">
        <x:v>4.3.3; 5.1.8</x:v>
      </x:c>
      <x:c r="G117" s="42" t="str">
        <x:v>4.3 Implement monitoring systems for GenAI applications; 5.1 Implement evaluation systems for GenAI</x:v>
      </x:c>
      <x:c r="H117" s="42" t="str">
        <x:v>88, 89, 107, 108, 109, 110, 111</x:v>
      </x:c>
      <x:c r="I117" s="42" t="str">
        <x:v>6</x:v>
      </x:c>
      <x:c r="J117" s="63" t="str">
        <x:f>IF(AND(H117="",I117=""),"None",IF(I117="","Hard","Mixed"))</x:f>
        <x:v>Mixed</x:v>
      </x:c>
      <x:c r="K117" s="63" t="str">
        <x:v>Level 4 — Select/Diagnose</x:v>
      </x:c>
      <x:c r="L117" s="63" t="str">
        <x:v>Hard</x:v>
      </x:c>
      <x:c r="M117" s="42" t="str">
        <x:v>Instrument the system, detect an injected anomaly, and identify the affected component</x:v>
      </x:c>
      <x:c r="N117" s="42" t="str">
        <x:v>Conceptual; Strategic; Normative; Institutional</x:v>
      </x:c>
      <x:c r="O117" s="42" t="str">
        <x:v>Multi-audience observability design exercise</x:v>
      </x:c>
      <x:c r="P117" s="43" t="str">
        <x:v>https://docs.aws.amazon.com/aws-certification/latest/ai-professional-01/ai-professional-01.html</x:v>
      </x:c>
    </x:row>
    <x:row r="118" ht="42" customHeight="1">
      <x:c r="A118" s="57" t="n">
        <x:v>113</x:v>
      </x:c>
      <x:c r="B118" s="42" t="str">
        <x:v>Model-output quality metrics</x:v>
      </x:c>
      <x:c r="C118" s="63" t="n">
        <x:v>9</x:v>
      </x:c>
      <x:c r="D118" s="42" t="str">
        <x:v>Layer 9 — Monitoring, evaluation, and troubleshooting</x:v>
      </x:c>
      <x:c r="E118" s="42" t="str">
        <x:v>Official skill-derived</x:v>
      </x:c>
      <x:c r="F118" s="42" t="str">
        <x:v>5.1.1</x:v>
      </x:c>
      <x:c r="G118" s="42" t="str">
        <x:v>5.1 Implement evaluation systems for GenAI</x:v>
      </x:c>
      <x:c r="H118" s="42" t="str">
        <x:v>10, 109</x:v>
      </x:c>
      <x:c r="I118" s="42" t="str"/>
      <x:c r="J118" s="63" t="str">
        <x:f>IF(AND(H118="",I118=""),"None",IF(I118="","Hard","Mixed"))</x:f>
        <x:v>Hard</x:v>
      </x:c>
      <x:c r="K118" s="63" t="str">
        <x:v>Level 3 — Apply/Implement</x:v>
      </x:c>
      <x:c r="L118" s="63" t="str">
        <x:v>Hard</x:v>
      </x:c>
      <x:c r="M118" s="42" t="str">
        <x:v>Build or apply an evaluation set, interpret results, and make a justified release or model decision</x:v>
      </x:c>
      <x:c r="N118" s="42" t="str">
        <x:v>Declarative; Conceptual; Conditional</x:v>
      </x:c>
      <x:c r="O118" s="42" t="str">
        <x:v>Metric-selection and scoring exercise</x:v>
      </x:c>
      <x:c r="P118" s="43" t="str">
        <x:v>https://docs.aws.amazon.com/aws-certification/latest/ai-professional-01/ai-professional-01-domain5.html</x:v>
      </x:c>
    </x:row>
    <x:row r="119" ht="42" customHeight="1">
      <x:c r="A119" s="57" t="n">
        <x:v>114</x:v>
      </x:c>
      <x:c r="B119" s="42" t="str">
        <x:v>Bedrock Model Evaluations</x:v>
      </x:c>
      <x:c r="C119" s="63" t="n">
        <x:v>9</x:v>
      </x:c>
      <x:c r="D119" s="42" t="str">
        <x:v>Layer 9 — Monitoring, evaluation, and troubleshooting</x:v>
      </x:c>
      <x:c r="E119" s="42" t="str">
        <x:v>Official skill-derived</x:v>
      </x:c>
      <x:c r="F119" s="42" t="str">
        <x:v>5.1.2</x:v>
      </x:c>
      <x:c r="G119" s="42" t="str">
        <x:v>5.1 Implement evaluation systems for GenAI</x:v>
      </x:c>
      <x:c r="H119" s="42" t="str">
        <x:v>39, 113</x:v>
      </x:c>
      <x:c r="I119" s="42" t="str"/>
      <x:c r="J119" s="63" t="str">
        <x:f>IF(AND(H119="",I119=""),"None",IF(I119="","Hard","Mixed"))</x:f>
        <x:v>Hard</x:v>
      </x:c>
      <x:c r="K119" s="63" t="str">
        <x:v>Level 3 — Apply/Implement</x:v>
      </x:c>
      <x:c r="L119" s="63" t="str">
        <x:v>Soft</x:v>
      </x:c>
      <x:c r="M119" s="42" t="str">
        <x:v>Build or apply an evaluation set, interpret results, and make a justified release or model decision</x:v>
      </x:c>
      <x:c r="N119" s="42" t="str">
        <x:v>Procedural; Conditional; Embedded</x:v>
      </x:c>
      <x:c r="O119" s="42" t="str">
        <x:v>Amazon Bedrock Model Evaluations laboratory</x:v>
      </x:c>
      <x:c r="P119" s="43" t="str">
        <x:v>https://docs.aws.amazon.com/aws-certification/latest/ai-professional-01/ai-professional-01-domain5.html</x:v>
      </x:c>
    </x:row>
    <x:row r="120" ht="42" customHeight="1">
      <x:c r="A120" s="57" t="n">
        <x:v>115</x:v>
      </x:c>
      <x:c r="B120" s="42" t="str">
        <x:v>Human evaluation and annotation workflows</x:v>
      </x:c>
      <x:c r="C120" s="63" t="n">
        <x:v>9</x:v>
      </x:c>
      <x:c r="D120" s="42" t="str">
        <x:v>Layer 9 — Monitoring, evaluation, and troubleshooting</x:v>
      </x:c>
      <x:c r="E120" s="42" t="str">
        <x:v>Official skill-derived</x:v>
      </x:c>
      <x:c r="F120" s="42" t="str">
        <x:v>5.1.3; 5.1.5</x:v>
      </x:c>
      <x:c r="G120" s="42" t="str">
        <x:v>5.1 Implement evaluation systems for GenAI</x:v>
      </x:c>
      <x:c r="H120" s="42" t="str">
        <x:v>10, 93, 113</x:v>
      </x:c>
      <x:c r="I120" s="42" t="str"/>
      <x:c r="J120" s="63" t="str">
        <x:f>IF(AND(H120="",I120=""),"None",IF(I120="","Hard","Mixed"))</x:f>
        <x:v>Hard</x:v>
      </x:c>
      <x:c r="K120" s="63" t="str">
        <x:v>Level 3 — Apply/Implement</x:v>
      </x:c>
      <x:c r="L120" s="63" t="str">
        <x:v>Soft</x:v>
      </x:c>
      <x:c r="M120" s="42" t="str">
        <x:v>Build or apply an evaluation set, interpret results, and make a justified release or model decision</x:v>
      </x:c>
      <x:c r="N120" s="42" t="str">
        <x:v>Procedural; Normative; Institutional</x:v>
      </x:c>
      <x:c r="O120" s="42" t="str">
        <x:v>Annotation-design and inter-rater agreement exercise</x:v>
      </x:c>
      <x:c r="P120" s="43" t="str">
        <x:v>https://docs.aws.amazon.com/aws-certification/latest/ai-professional-01/ai-professional-01-domain5.html</x:v>
      </x:c>
    </x:row>
    <x:row r="121" ht="42" customHeight="1">
      <x:c r="A121" s="57" t="n">
        <x:v>116</x:v>
      </x:c>
      <x:c r="B121" s="42" t="str">
        <x:v>LLM-as-a-judge evaluation</x:v>
      </x:c>
      <x:c r="C121" s="63" t="n">
        <x:v>9</x:v>
      </x:c>
      <x:c r="D121" s="42" t="str">
        <x:v>Layer 9 — Monitoring, evaluation, and troubleshooting</x:v>
      </x:c>
      <x:c r="E121" s="42" t="str">
        <x:v>Official skill-derived</x:v>
      </x:c>
      <x:c r="F121" s="42" t="str">
        <x:v>5.1.5</x:v>
      </x:c>
      <x:c r="G121" s="42" t="str">
        <x:v>5.1 Implement evaluation systems for GenAI</x:v>
      </x:c>
      <x:c r="H121" s="42" t="str">
        <x:v>10, 113, 115</x:v>
      </x:c>
      <x:c r="I121" s="42" t="str"/>
      <x:c r="J121" s="63" t="str">
        <x:f>IF(AND(H121="",I121=""),"None",IF(I121="","Hard","Mixed"))</x:f>
        <x:v>Hard</x:v>
      </x:c>
      <x:c r="K121" s="63" t="str">
        <x:v>Level 3 — Apply/Implement</x:v>
      </x:c>
      <x:c r="L121" s="63" t="str">
        <x:v>Soft</x:v>
      </x:c>
      <x:c r="M121" s="42" t="str">
        <x:v>Build or apply an evaluation set, interpret results, and make a justified release or model decision</x:v>
      </x:c>
      <x:c r="N121" s="42" t="str">
        <x:v>Conceptual; Procedural; Conditional; Normative</x:v>
      </x:c>
      <x:c r="O121" s="42" t="str">
        <x:v>Calibrate LLM-as-judge results against human evaluation</x:v>
      </x:c>
      <x:c r="P121" s="43" t="str">
        <x:v>https://docs.aws.amazon.com/aws-certification/latest/ai-professional-01/ai-professional-01-domain5.html</x:v>
      </x:c>
    </x:row>
    <x:row r="122" ht="42" customHeight="1">
      <x:c r="A122" s="57" t="n">
        <x:v>117</x:v>
      </x:c>
      <x:c r="B122" s="42" t="str">
        <x:v>RAG evaluation</x:v>
      </x:c>
      <x:c r="C122" s="63" t="n">
        <x:v>9</x:v>
      </x:c>
      <x:c r="D122" s="42" t="str">
        <x:v>Layer 9 — Monitoring, evaluation, and troubleshooting</x:v>
      </x:c>
      <x:c r="E122" s="42" t="str">
        <x:v>Official skill-derived</x:v>
      </x:c>
      <x:c r="F122" s="42" t="str">
        <x:v>5.1.5; 5.1.6</x:v>
      </x:c>
      <x:c r="G122" s="42" t="str">
        <x:v>5.1 Implement evaluation systems for GenAI</x:v>
      </x:c>
      <x:c r="H122" s="42" t="str">
        <x:v>26, 113</x:v>
      </x:c>
      <x:c r="I122" s="42" t="str"/>
      <x:c r="J122" s="63" t="str">
        <x:f>IF(AND(H122="",I122=""),"None",IF(I122="","Hard","Mixed"))</x:f>
        <x:v>Hard</x:v>
      </x:c>
      <x:c r="K122" s="63" t="str">
        <x:v>Level 4 — Select/Diagnose</x:v>
      </x:c>
      <x:c r="L122" s="63" t="str">
        <x:v>Hard</x:v>
      </x:c>
      <x:c r="M122" s="42" t="str">
        <x:v>Build or apply an evaluation set, interpret results, and make a justified release or model decision</x:v>
      </x:c>
      <x:c r="N122" s="42" t="str">
        <x:v>Conceptual; Procedural; Diagnostic/Causal</x:v>
      </x:c>
      <x:c r="O122" s="42" t="str">
        <x:v>Build a RAG evaluation harness</x:v>
      </x:c>
      <x:c r="P122" s="43" t="str">
        <x:v>https://docs.aws.amazon.com/aws-certification/latest/ai-professional-01/ai-professional-01-domain5.html</x:v>
      </x:c>
    </x:row>
    <x:row r="123" ht="42" customHeight="1">
      <x:c r="A123" s="57" t="n">
        <x:v>118</x:v>
      </x:c>
      <x:c r="B123" s="42" t="str">
        <x:v>Agent evaluation</x:v>
      </x:c>
      <x:c r="C123" s="63" t="n">
        <x:v>9</x:v>
      </x:c>
      <x:c r="D123" s="42" t="str">
        <x:v>Layer 9 — Monitoring, evaluation, and troubleshooting</x:v>
      </x:c>
      <x:c r="E123" s="42" t="str">
        <x:v>Official skill-derived</x:v>
      </x:c>
      <x:c r="F123" s="42" t="str">
        <x:v>5.1.7</x:v>
      </x:c>
      <x:c r="G123" s="42" t="str">
        <x:v>5.1 Implement evaluation systems for GenAI</x:v>
      </x:c>
      <x:c r="H123" s="42" t="str">
        <x:v>73, 113</x:v>
      </x:c>
      <x:c r="I123" s="42" t="str"/>
      <x:c r="J123" s="63" t="str">
        <x:f>IF(AND(H123="",I123=""),"None",IF(I123="","Hard","Mixed"))</x:f>
        <x:v>Hard</x:v>
      </x:c>
      <x:c r="K123" s="63" t="str">
        <x:v>Level 4 — Select/Diagnose</x:v>
      </x:c>
      <x:c r="L123" s="63" t="str">
        <x:v>Soft</x:v>
      </x:c>
      <x:c r="M123" s="42" t="str">
        <x:v>Build or apply an evaluation set, interpret results, and make a justified release or model decision</x:v>
      </x:c>
      <x:c r="N123" s="42" t="str">
        <x:v>Conceptual; Procedural; Diagnostic/Causal</x:v>
      </x:c>
      <x:c r="O123" s="42" t="str">
        <x:v>Agent-trajectory evaluation and failure analysis</x:v>
      </x:c>
      <x:c r="P123" s="43" t="str">
        <x:v>https://docs.aws.amazon.com/aws-certification/latest/ai-professional-01/ai-professional-01-domain5.html</x:v>
      </x:c>
    </x:row>
    <x:row r="124" ht="42" customHeight="1">
      <x:c r="A124" s="57" t="n">
        <x:v>119</x:v>
      </x:c>
      <x:c r="B124" s="42" t="str">
        <x:v>A/B testing, canary testing, and multi-model comparison</x:v>
      </x:c>
      <x:c r="C124" s="63" t="n">
        <x:v>9</x:v>
      </x:c>
      <x:c r="D124" s="42" t="str">
        <x:v>Layer 9 — Monitoring, evaluation, and troubleshooting</x:v>
      </x:c>
      <x:c r="E124" s="42" t="str">
        <x:v>Official skill-derived</x:v>
      </x:c>
      <x:c r="F124" s="42" t="str">
        <x:v>5.1.2</x:v>
      </x:c>
      <x:c r="G124" s="42" t="str">
        <x:v>5.1 Implement evaluation systems for GenAI</x:v>
      </x:c>
      <x:c r="H124" s="42" t="str">
        <x:v>39, 40, 105, 113, 114</x:v>
      </x:c>
      <x:c r="I124" s="42" t="str"/>
      <x:c r="J124" s="63" t="str">
        <x:f>IF(AND(H124="",I124=""),"None",IF(I124="","Hard","Mixed"))</x:f>
        <x:v>Hard</x:v>
      </x:c>
      <x:c r="K124" s="63" t="str">
        <x:v>Level 4 — Select/Diagnose</x:v>
      </x:c>
      <x:c r="L124" s="63" t="str">
        <x:v>Soft</x:v>
      </x:c>
      <x:c r="M124" s="42" t="str">
        <x:v>Complete an independent hands-on task and explain the key implementation decisions</x:v>
      </x:c>
      <x:c r="N124" s="42" t="str">
        <x:v>Procedural; Causal; Conditional; Strategic</x:v>
      </x:c>
      <x:c r="O124" s="42" t="str">
        <x:v>A/B and canary testing experiment</x:v>
      </x:c>
      <x:c r="P124" s="43" t="str">
        <x:v>https://docs.aws.amazon.com/aws-certification/latest/ai-professional-01/ai-professional-01-domain5.html</x:v>
      </x:c>
    </x:row>
    <x:row r="125" ht="42" customHeight="1">
      <x:c r="A125" s="57" t="n">
        <x:v>120</x:v>
      </x:c>
      <x:c r="B125" s="42" t="str">
        <x:v>Continuous evaluation and regression testing</x:v>
      </x:c>
      <x:c r="C125" s="63" t="n">
        <x:v>9</x:v>
      </x:c>
      <x:c r="D125" s="42" t="str">
        <x:v>Layer 9 — Monitoring, evaluation, and troubleshooting</x:v>
      </x:c>
      <x:c r="E125" s="42" t="str">
        <x:v>Official skill-derived</x:v>
      </x:c>
      <x:c r="F125" s="42" t="str">
        <x:v>5.1.4</x:v>
      </x:c>
      <x:c r="G125" s="42" t="str">
        <x:v>5.1 Implement evaluation systems for GenAI</x:v>
      </x:c>
      <x:c r="H125" s="42" t="str">
        <x:v>30, 59, 109, 113</x:v>
      </x:c>
      <x:c r="I125" s="42" t="str"/>
      <x:c r="J125" s="63" t="str">
        <x:f>IF(AND(H125="",I125=""),"None",IF(I125="","Hard","Mixed"))</x:f>
        <x:v>Hard</x:v>
      </x:c>
      <x:c r="K125" s="63" t="str">
        <x:v>Level 3 — Apply/Implement</x:v>
      </x:c>
      <x:c r="L125" s="63" t="str">
        <x:v>Hard</x:v>
      </x:c>
      <x:c r="M125" s="42" t="str">
        <x:v>Build or apply an evaluation set, interpret results, and make a justified release or model decision</x:v>
      </x:c>
      <x:c r="N125" s="42" t="str">
        <x:v>Procedural; Causal; Strategic; Embedded</x:v>
      </x:c>
      <x:c r="O125" s="42" t="str">
        <x:v>Continuous-evaluation pipeline laboratory</x:v>
      </x:c>
      <x:c r="P125" s="43" t="str">
        <x:v>https://docs.aws.amazon.com/aws-certification/latest/ai-professional-01/ai-professional-01-domain5.html</x:v>
      </x:c>
    </x:row>
    <x:row r="126" ht="42" customHeight="1">
      <x:c r="A126" s="57" t="n">
        <x:v>121</x:v>
      </x:c>
      <x:c r="B126" s="42" t="str">
        <x:v>Synthetic-user and deployment-validation workflows</x:v>
      </x:c>
      <x:c r="C126" s="63" t="n">
        <x:v>9</x:v>
      </x:c>
      <x:c r="D126" s="42" t="str">
        <x:v>Layer 9 — Monitoring, evaluation, and troubleshooting</x:v>
      </x:c>
      <x:c r="E126" s="42" t="str">
        <x:v>Official skill-derived</x:v>
      </x:c>
      <x:c r="F126" s="42" t="str">
        <x:v>5.1.9</x:v>
      </x:c>
      <x:c r="G126" s="42" t="str">
        <x:v>5.1 Implement evaluation systems for GenAI</x:v>
      </x:c>
      <x:c r="H126" s="42" t="str">
        <x:v>59, 113, 119, 120</x:v>
      </x:c>
      <x:c r="I126" s="42" t="str"/>
      <x:c r="J126" s="63" t="str">
        <x:f>IF(AND(H126="",I126=""),"None",IF(I126="","Hard","Mixed"))</x:f>
        <x:v>Hard</x:v>
      </x:c>
      <x:c r="K126" s="63" t="str">
        <x:v>Level 3 — Apply/Implement</x:v>
      </x:c>
      <x:c r="L126" s="63" t="str">
        <x:v>Soft</x:v>
      </x:c>
      <x:c r="M126" s="42" t="str">
        <x:v>Perform an independent deployment or pipeline task and verify rollback/recovery behavior</x:v>
      </x:c>
      <x:c r="N126" s="42" t="str">
        <x:v>Procedural; Causal; Strategic</x:v>
      </x:c>
      <x:c r="O126" s="42" t="str">
        <x:v>Synthetic-user workflow and deployment-validation exercise</x:v>
      </x:c>
      <x:c r="P126" s="43" t="str">
        <x:v>https://docs.aws.amazon.com/aws-certification/latest/ai-professional-01/ai-professional-01-domain5.html</x:v>
      </x:c>
    </x:row>
    <x:row r="127" ht="42" customHeight="1">
      <x:c r="A127" s="57" t="n">
        <x:v>122</x:v>
      </x:c>
      <x:c r="B127" s="42" t="str">
        <x:v>Context-window, truncation, and content-handling troubleshooting</x:v>
      </x:c>
      <x:c r="C127" s="63" t="n">
        <x:v>9</x:v>
      </x:c>
      <x:c r="D127" s="42" t="str">
        <x:v>Layer 9 — Monitoring, evaluation, and troubleshooting</x:v>
      </x:c>
      <x:c r="E127" s="42" t="str">
        <x:v>Official skill-derived</x:v>
      </x:c>
      <x:c r="F127" s="42" t="str">
        <x:v>5.2.1</x:v>
      </x:c>
      <x:c r="G127" s="42" t="str">
        <x:v>5.2 Troubleshoot GenAI applications</x:v>
      </x:c>
      <x:c r="H127" s="42" t="str">
        <x:v>2, 15, 20, 38, 107</x:v>
      </x:c>
      <x:c r="I127" s="42" t="str"/>
      <x:c r="J127" s="63" t="str">
        <x:f>IF(AND(H127="",I127=""),"None",IF(I127="","Hard","Mixed"))</x:f>
        <x:v>Hard</x:v>
      </x:c>
      <x:c r="K127" s="63" t="str">
        <x:v>Level 4 — Select/Diagnose</x:v>
      </x:c>
      <x:c r="L127" s="63" t="str">
        <x:v>Hard</x:v>
      </x:c>
      <x:c r="M127" s="42" t="str">
        <x:v>Broken-system exercise: isolate the first failing stage, correct it, and add a regression check</x:v>
      </x:c>
      <x:c r="N127" s="42" t="str">
        <x:v>Diagnostic/Causal; Procedural; Tacit</x:v>
      </x:c>
      <x:c r="O127" s="42" t="str">
        <x:v>Context-overflow and truncation broken-system lab</x:v>
      </x:c>
      <x:c r="P127" s="43" t="str">
        <x:v>https://docs.aws.amazon.com/aws-certification/latest/ai-professional-01/ai-professional-01-domain5.html</x:v>
      </x:c>
    </x:row>
    <x:row r="128" ht="42" customHeight="1">
      <x:c r="A128" s="57" t="n">
        <x:v>123</x:v>
      </x:c>
      <x:c r="B128" s="42" t="str">
        <x:v>FM API and integration troubleshooting</x:v>
      </x:c>
      <x:c r="C128" s="63" t="n">
        <x:v>9</x:v>
      </x:c>
      <x:c r="D128" s="42" t="str">
        <x:v>Layer 9 — Monitoring, evaluation, and troubleshooting</x:v>
      </x:c>
      <x:c r="E128" s="42" t="str">
        <x:v>Official skill-derived</x:v>
      </x:c>
      <x:c r="F128" s="42" t="str">
        <x:v>5.2.2; 2.5.6</x:v>
      </x:c>
      <x:c r="G128" s="42" t="str">
        <x:v>5.2 Troubleshoot GenAI applications; 2.5 Implement application integration patterns and development tools</x:v>
      </x:c>
      <x:c r="H128" s="42" t="str">
        <x:v>32, 33, 34, 35, 36, 37, 38, 107</x:v>
      </x:c>
      <x:c r="I128" s="42" t="str"/>
      <x:c r="J128" s="63" t="str">
        <x:f>IF(AND(H128="",I128=""),"None",IF(I128="","Hard","Mixed"))</x:f>
        <x:v>Hard</x:v>
      </x:c>
      <x:c r="K128" s="63" t="str">
        <x:v>Level 4 — Select/Diagnose</x:v>
      </x:c>
      <x:c r="L128" s="63" t="str">
        <x:v>Hard</x:v>
      </x:c>
      <x:c r="M128" s="42" t="str">
        <x:v>Broken-system exercise: isolate the first failing stage, correct it, and add a regression check</x:v>
      </x:c>
      <x:c r="N128" s="42" t="str">
        <x:v>Diagnostic/Causal; Procedural; Embedded</x:v>
      </x:c>
      <x:c r="O128" s="42" t="str">
        <x:v>FM API failure-triage laboratory</x:v>
      </x:c>
      <x:c r="P128" s="43" t="str">
        <x:v>https://docs.aws.amazon.com/aws-certification/latest/ai-professional-01/ai-professional-01.html</x:v>
      </x:c>
    </x:row>
    <x:row r="129" ht="42" customHeight="1">
      <x:c r="A129" s="57" t="n">
        <x:v>124</x:v>
      </x:c>
      <x:c r="B129" s="42" t="str">
        <x:v>Prompt troubleshooting and maintenance</x:v>
      </x:c>
      <x:c r="C129" s="63" t="n">
        <x:v>9</x:v>
      </x:c>
      <x:c r="D129" s="42" t="str">
        <x:v>Layer 9 — Monitoring, evaluation, and troubleshooting</x:v>
      </x:c>
      <x:c r="E129" s="42" t="str">
        <x:v>Official skill-derived</x:v>
      </x:c>
      <x:c r="F129" s="42" t="str">
        <x:v>5.2.3; 5.2.5</x:v>
      </x:c>
      <x:c r="G129" s="42" t="str">
        <x:v>5.2 Troubleshoot GenAI applications</x:v>
      </x:c>
      <x:c r="H129" s="42" t="str">
        <x:v>28, 29, 30, 31, 109, 120</x:v>
      </x:c>
      <x:c r="I129" s="42" t="str"/>
      <x:c r="J129" s="63" t="str">
        <x:f>IF(AND(H129="",I129=""),"None",IF(I129="","Hard","Mixed"))</x:f>
        <x:v>Hard</x:v>
      </x:c>
      <x:c r="K129" s="63" t="str">
        <x:v>Level 4 — Select/Diagnose</x:v>
      </x:c>
      <x:c r="L129" s="63" t="str">
        <x:v>Hard</x:v>
      </x:c>
      <x:c r="M129" s="42" t="str">
        <x:v>Broken-system exercise: isolate the first failing stage, correct it, and add a regression check</x:v>
      </x:c>
      <x:c r="N129" s="42" t="str">
        <x:v>Diagnostic/Causal; Procedural; Tacit</x:v>
      </x:c>
      <x:c r="O129" s="42" t="str">
        <x:v>Prompt bisection and regression laboratory</x:v>
      </x:c>
      <x:c r="P129" s="43" t="str">
        <x:v>https://docs.aws.amazon.com/aws-certification/latest/ai-professional-01/ai-professional-01-domain5.html</x:v>
      </x:c>
    </x:row>
    <x:row r="130" ht="42" customHeight="1">
      <x:c r="A130" s="57" t="n">
        <x:v>125</x:v>
      </x:c>
      <x:c r="B130" s="42" t="str">
        <x:v>Embedding, chunking, indexing, and retrieval troubleshooting</x:v>
      </x:c>
      <x:c r="C130" s="63" t="n">
        <x:v>9</x:v>
      </x:c>
      <x:c r="D130" s="42" t="str">
        <x:v>Layer 9 — Monitoring, evaluation, and troubleshooting</x:v>
      </x:c>
      <x:c r="E130" s="42" t="str">
        <x:v>Official skill-derived</x:v>
      </x:c>
      <x:c r="F130" s="42" t="str">
        <x:v>5.2.4</x:v>
      </x:c>
      <x:c r="G130" s="42" t="str">
        <x:v>5.2 Troubleshoot GenAI applications</x:v>
      </x:c>
      <x:c r="H130" s="42" t="str">
        <x:v>26, 110, 117</x:v>
      </x:c>
      <x:c r="I130" s="42" t="str"/>
      <x:c r="J130" s="63" t="str">
        <x:f>IF(AND(H130="",I130=""),"None",IF(I130="","Hard","Mixed"))</x:f>
        <x:v>Hard</x:v>
      </x:c>
      <x:c r="K130" s="63" t="str">
        <x:v>Level 4 — Select/Diagnose</x:v>
      </x:c>
      <x:c r="L130" s="63" t="str">
        <x:v>Hard</x:v>
      </x:c>
      <x:c r="M130" s="42" t="str">
        <x:v>Broken-system exercise: isolate the first failing stage, correct it, and add a regression check</x:v>
      </x:c>
      <x:c r="N130" s="42" t="str">
        <x:v>Diagnostic/Causal; Procedural; Tacit; Embedded</x:v>
      </x:c>
      <x:c r="O130" s="42" t="str">
        <x:v>Broken-RAG stage-isolation laboratory</x:v>
      </x:c>
      <x:c r="P130" s="43" t="str">
        <x:v>https://docs.aws.amazon.com/aws-certification/latest/ai-professional-01/ai-professional-01-domain5.html</x:v>
      </x:c>
    </x:row>
    <x:row r="131" ht="42" customHeight="1">
      <x:c r="A131" s="57" t="n">
        <x:v>126</x:v>
      </x:c>
      <x:c r="B131" s="42" t="str">
        <x:v>Agent and tool-use troubleshooting</x:v>
      </x:c>
      <x:c r="C131" s="63" t="n">
        <x:v>9</x:v>
      </x:c>
      <x:c r="D131" s="42" t="str">
        <x:v>Layer 9 — Monitoring, evaluation, and troubleshooting</x:v>
      </x:c>
      <x:c r="E131" s="42" t="str">
        <x:v>Official skill-derived</x:v>
      </x:c>
      <x:c r="F131" s="42" t="str">
        <x:v>5.1.7; 4.3.4; 2.5.6</x:v>
      </x:c>
      <x:c r="G131" s="42" t="str">
        <x:v>5.1 Implement evaluation systems for GenAI; 4.3 Implement monitoring systems for GenAI applications; 2.5 Implement application integration patterns and development tools</x:v>
      </x:c>
      <x:c r="H131" s="42" t="str">
        <x:v>64, 67, 68, 71, 72, 73, 111, 118</x:v>
      </x:c>
      <x:c r="I131" s="42" t="str"/>
      <x:c r="J131" s="63" t="str">
        <x:f>IF(AND(H131="",I131=""),"None",IF(I131="","Hard","Mixed"))</x:f>
        <x:v>Hard</x:v>
      </x:c>
      <x:c r="K131" s="63" t="str">
        <x:v>Level 4 — Select/Diagnose</x:v>
      </x:c>
      <x:c r="L131" s="63" t="str">
        <x:v>Hard</x:v>
      </x:c>
      <x:c r="M131" s="42" t="str">
        <x:v>Broken-system exercise: isolate the first failing stage, correct it, and add a regression check</x:v>
      </x:c>
      <x:c r="N131" s="42" t="str">
        <x:v>Diagnostic/Causal; Procedural; Tacit</x:v>
      </x:c>
      <x:c r="O131" s="42" t="str">
        <x:v>Agent and tool-use incident laboratory</x:v>
      </x:c>
      <x:c r="P131" s="43" t="str">
        <x:v>https://docs.aws.amazon.com/aws-certification/latest/ai-professional-01/ai-professional-01.html</x:v>
      </x:c>
    </x:row>
    <x:row r="132" ht="42" customHeight="1">
      <x:c r="A132" s="57" t="n">
        <x:v>127</x:v>
      </x:c>
      <x:c r="B132" s="42" t="str">
        <x:v>Cost, latency, throughput, and scaling troubleshooting</x:v>
      </x:c>
      <x:c r="C132" s="63" t="n">
        <x:v>9</x:v>
      </x:c>
      <x:c r="D132" s="42" t="str">
        <x:v>Layer 9 — Monitoring, evaluation, and troubleshooting</x:v>
      </x:c>
      <x:c r="E132" s="42" t="str">
        <x:v>Official skill-derived</x:v>
      </x:c>
      <x:c r="F132" s="42" t="str">
        <x:v>4.2.1; 4.2.3; 4.2.5; 4.2.6; 4.3.6</x:v>
      </x:c>
      <x:c r="G132" s="42" t="str">
        <x:v>4.2 Optimize application performance; 4.3 Implement monitoring systems for GenAI applications</x:v>
      </x:c>
      <x:c r="H132" s="42" t="str">
        <x:v>96, 97, 98, 99, 100, 101, 102, 103, 104, 105, 106, 108</x:v>
      </x:c>
      <x:c r="I132" s="42" t="str"/>
      <x:c r="J132" s="63" t="str">
        <x:f>IF(AND(H132="",I132=""),"None",IF(I132="","Hard","Mixed"))</x:f>
        <x:v>Hard</x:v>
      </x:c>
      <x:c r="K132" s="63" t="str">
        <x:v>Level 4 — Select/Diagnose</x:v>
      </x:c>
      <x:c r="L132" s="63" t="str">
        <x:v>Hard</x:v>
      </x:c>
      <x:c r="M132" s="42" t="str">
        <x:v>Broken-system exercise: isolate the first failing stage, correct it, and add a regression check</x:v>
      </x:c>
      <x:c r="N132" s="42" t="str">
        <x:v>Diagnostic/Causal; Procedural; Strategic</x:v>
      </x:c>
      <x:c r="O132" s="42" t="str">
        <x:v>Cost, latency, and scaling incident analysis</x:v>
      </x:c>
      <x:c r="P132" s="43" t="str">
        <x:v>https://docs.aws.amazon.com/aws-certification/latest/ai-professional-01/ai-professional-01-domain4.html</x:v>
      </x:c>
    </x:row>
    <x:row r="133" ht="42" customHeight="1">
      <x:c r="A133" s="57" t="n">
        <x:v>128</x:v>
      </x:c>
      <x:c r="B133" s="42" t="str">
        <x:v>End-to-end incident analysis and root-cause diagnosis</x:v>
      </x:c>
      <x:c r="C133" s="63" t="n">
        <x:v>9</x:v>
      </x:c>
      <x:c r="D133" s="42" t="str">
        <x:v>Layer 9 — Monitoring, evaluation, and troubleshooting</x:v>
      </x:c>
      <x:c r="E133" s="42" t="str">
        <x:v>Official skill-derived</x:v>
      </x:c>
      <x:c r="F133" s="42" t="str">
        <x:v>4.3.6; 2.5.6; 5.2.1; 5.2.2; 5.2.3; 5.2.4; 5.2.5</x:v>
      </x:c>
      <x:c r="G133" s="42" t="str">
        <x:v>4.3 Implement monitoring systems for GenAI applications; 2.5 Implement application integration patterns and development tools; 5.2 Troubleshoot GenAI applications</x:v>
      </x:c>
      <x:c r="H133" s="42" t="str">
        <x:v>107, 112, 122, 123, 124, 125, 126, 127</x:v>
      </x:c>
      <x:c r="I133" s="42" t="str"/>
      <x:c r="J133" s="63" t="str">
        <x:f>IF(AND(H133="",I133=""),"None",IF(I133="","Hard","Mixed"))</x:f>
        <x:v>Hard</x:v>
      </x:c>
      <x:c r="K133" s="63" t="str">
        <x:v>Level 4 — Select/Diagnose</x:v>
      </x:c>
      <x:c r="L133" s="63" t="str">
        <x:v>Hard</x:v>
      </x:c>
      <x:c r="M133" s="42" t="str">
        <x:v>Broken-system exercise: isolate the first failing stage, correct it, and add a regression check</x:v>
      </x:c>
      <x:c r="N133" s="42" t="str">
        <x:v>Diagnostic/Causal; Strategic; Tacit</x:v>
      </x:c>
      <x:c r="O133" s="42" t="str">
        <x:v>Full end-to-end incident postmortem</x:v>
      </x:c>
      <x:c r="P133" s="43" t="str">
        <x:v>https://docs.aws.amazon.com/aws-certification/latest/ai-professional-01/ai-professional-01.html</x:v>
      </x:c>
    </x:row>
    <x:row r="134" ht="42" customHeight="1">
      <x:c r="A134" s="57" t="n">
        <x:v>129</x:v>
      </x:c>
      <x:c r="B134" s="42" t="str">
        <x:v>End-to-end GenAI architecture design</x:v>
      </x:c>
      <x:c r="C134" s="63" t="n">
        <x:v>10</x:v>
      </x:c>
      <x:c r="D134" s="42" t="str">
        <x:v>Final integration</x:v>
      </x:c>
      <x:c r="E134" s="42" t="str">
        <x:v>Cross-domain synthesis</x:v>
      </x:c>
      <x:c r="F134" s="42" t="str">
        <x:v>1.1.1; 1.1.3; 2.3.1; 2.3.2; 2.3.3; 2.3.4; 2.3.5</x:v>
      </x:c>
      <x:c r="G134" s="42" t="str">
        <x:v>1.1 Analyze requirements and design GenAI solutions; 2.3 Design and implement enterprise integration architectures</x:v>
      </x:c>
      <x:c r="H134" s="42" t="str">
        <x:v>6, 20, 31, 48, 56, 71, 80, 95, 106, 112, 128</x:v>
      </x:c>
      <x:c r="I134" s="42" t="str">
        <x:v>46, 47, 57, 60, 73, 93, 105</x:v>
      </x:c>
      <x:c r="J134" s="63" t="str">
        <x:f>IF(AND(H134="",I134=""),"None",IF(I134="","Hard","Mixed"))</x:f>
        <x:v>Mixed</x:v>
      </x:c>
      <x:c r="K134" s="63" t="str">
        <x:v>Level 5 — Design/Defend</x:v>
      </x:c>
      <x:c r="L134" s="63" t="str">
        <x:v>Capstone</x:v>
      </x:c>
      <x:c r="M134" s="42" t="str">
        <x:v>Design a solution for a novel case and defend component choices, constraints, and residual risks</x:v>
      </x:c>
      <x:c r="N134" s="42" t="str">
        <x:v>Conceptual; Strategic; Tacit</x:v>
      </x:c>
      <x:c r="O134" s="42" t="str">
        <x:v>End-to-end architecture capstone and design review</x:v>
      </x:c>
      <x:c r="P134" s="43" t="str">
        <x:v>https://docs.aws.amazon.com/aws-certification/latest/ai-professional-01/ai-professional-01.html</x:v>
      </x:c>
    </x:row>
    <x:row r="135" ht="42" customHeight="1">
      <x:c r="A135" s="57" t="n">
        <x:v>130</x:v>
      </x:c>
      <x:c r="B135" s="42" t="str">
        <x:v>Business, technical, security, cost, and governance trade-off analysis</x:v>
      </x:c>
      <x:c r="C135" s="63" t="n">
        <x:v>10</x:v>
      </x:c>
      <x:c r="D135" s="42" t="str">
        <x:v>Final integration</x:v>
      </x:c>
      <x:c r="E135" s="42" t="str">
        <x:v>Cross-domain synthesis</x:v>
      </x:c>
      <x:c r="F135" s="42" t="str">
        <x:v>1.1.1; 1.2.1; 2.2.3; 3.3.3; 4.1.2; 4.2.1</x:v>
      </x:c>
      <x:c r="G135" s="42" t="str">
        <x:v>1.1 Analyze requirements and design GenAI solutions; 1.2 Select and configure FMs; 2.2 Implement model deployment strategies; 3.3 Implement AI governance and compliance mechanisms; 4.1 Implement cost optimization and resource efficiency strategies; 4.2 Optimize application performance</x:v>
      </x:c>
      <x:c r="H135" s="42" t="str">
        <x:v>40, 55, 95, 98, 103, 129</x:v>
      </x:c>
      <x:c r="I135" s="42" t="str">
        <x:v>72, 92, 112</x:v>
      </x:c>
      <x:c r="J135" s="63" t="str">
        <x:f>IF(AND(H135="",I135=""),"None",IF(I135="","Hard","Mixed"))</x:f>
        <x:v>Mixed</x:v>
      </x:c>
      <x:c r="K135" s="63" t="str">
        <x:v>Level 5 — Design/Defend</x:v>
      </x:c>
      <x:c r="L135" s="63" t="str">
        <x:v>Capstone</x:v>
      </x:c>
      <x:c r="M135" s="42" t="str">
        <x:v>Map requirements to controls, owners, evidence, and escalation; justify unresolved risks</x:v>
      </x:c>
      <x:c r="N135" s="42" t="str">
        <x:v>Conditional; Strategic; Normative; Tacit</x:v>
      </x:c>
      <x:c r="O135" s="42" t="str">
        <x:v>Cross-domain trade-off case workshop</x:v>
      </x:c>
      <x:c r="P135" s="43" t="str">
        <x:v>https://docs.aws.amazon.com/aws-certification/latest/ai-professional-01/ai-professional-01.html</x:v>
      </x:c>
    </x:row>
    <x:row r="136" ht="42" customHeight="1">
      <x:c r="A136" s="57" t="n">
        <x:v>131</x:v>
      </x:c>
      <x:c r="B136" s="42" t="str">
        <x:v>Architecture decision records and alternative evaluation</x:v>
      </x:c>
      <x:c r="C136" s="63" t="n">
        <x:v>10</x:v>
      </x:c>
      <x:c r="D136" s="42" t="str">
        <x:v>Final integration</x:v>
      </x:c>
      <x:c r="E136" s="42" t="str">
        <x:v>Cross-domain synthesis</x:v>
      </x:c>
      <x:c r="F136" s="42" t="str">
        <x:v>1.1.1; 1.1.3</x:v>
      </x:c>
      <x:c r="G136" s="42" t="str">
        <x:v>1.1 Analyze requirements and design GenAI solutions</x:v>
      </x:c>
      <x:c r="H136" s="42" t="str">
        <x:v>6, 129, 130</x:v>
      </x:c>
      <x:c r="I136" s="42" t="str">
        <x:v>89</x:v>
      </x:c>
      <x:c r="J136" s="63" t="str">
        <x:f>IF(AND(H136="",I136=""),"None",IF(I136="","Hard","Mixed"))</x:f>
        <x:v>Mixed</x:v>
      </x:c>
      <x:c r="K136" s="63" t="str">
        <x:v>Level 5 — Design/Defend</x:v>
      </x:c>
      <x:c r="L136" s="63" t="str">
        <x:v>Capstone</x:v>
      </x:c>
      <x:c r="M136" s="42" t="str">
        <x:v>Write an ADR for a new scenario, including alternatives, trade-offs, and consequences</x:v>
      </x:c>
      <x:c r="N136" s="42" t="str">
        <x:v>Strategic; Metacognitive; Explicit</x:v>
      </x:c>
      <x:c r="O136" s="42" t="str">
        <x:v>Write and peer-review architecture decision records</x:v>
      </x:c>
      <x:c r="P136" s="43" t="str">
        <x:v>https://docs.aws.amazon.com/aws-certification/latest/ai-professional-01/ai-professional-01-domain1.html</x:v>
      </x:c>
    </x:row>
    <x:row r="137" ht="42" customHeight="1">
      <x:c r="A137" s="57" t="n">
        <x:v>132</x:v>
      </x:c>
      <x:c r="B137" s="42" t="str">
        <x:v>Production-readiness review</x:v>
      </x:c>
      <x:c r="C137" s="63" t="n">
        <x:v>10</x:v>
      </x:c>
      <x:c r="D137" s="42" t="str">
        <x:v>Final integration</x:v>
      </x:c>
      <x:c r="E137" s="42" t="str">
        <x:v>Cross-domain synthesis</x:v>
      </x:c>
      <x:c r="F137" s="42" t="str">
        <x:v>1.1.2; 1.1.3; 2.3.5; 3.3.4; 4.3.1; 4.3.2; 4.3.3; 4.3.4; 4.3.5; 4.3.6; 5.1.9</x:v>
      </x:c>
      <x:c r="G137" s="42" t="str">
        <x:v>1.1 Analyze requirements and design GenAI solutions; 2.3 Design and implement enterprise integration architectures; 3.3 Implement AI governance and compliance mechanisms; 4.3 Implement monitoring systems for GenAI applications; 5.1 Implement evaluation systems for GenAI</x:v>
      </x:c>
      <x:c r="H137" s="42" t="str">
        <x:v>59, 80, 95, 106, 112, 120, 128, 129</x:v>
      </x:c>
      <x:c r="I137" s="42" t="str">
        <x:v>121</x:v>
      </x:c>
      <x:c r="J137" s="63" t="str">
        <x:f>IF(AND(H137="",I137=""),"None",IF(I137="","Hard","Mixed"))</x:f>
        <x:v>Mixed</x:v>
      </x:c>
      <x:c r="K137" s="63" t="str">
        <x:v>Level 5 — Design/Defend</x:v>
      </x:c>
      <x:c r="L137" s="63" t="str">
        <x:v>Capstone</x:v>
      </x:c>
      <x:c r="M137" s="42" t="str">
        <x:v>Run a production-readiness review and defend go/no-go findings with evidence</x:v>
      </x:c>
      <x:c r="N137" s="42" t="str">
        <x:v>Strategic; Normative; Institutional; Tacit</x:v>
      </x:c>
      <x:c r="O137" s="42" t="str">
        <x:v>Production-readiness review simulation</x:v>
      </x:c>
      <x:c r="P137" s="43" t="str">
        <x:v>https://docs.aws.amazon.com/aws-certification/latest/ai-professional-01/ai-professional-01.html</x:v>
      </x:c>
    </x:row>
    <x:row r="138" ht="42" customHeight="1">
      <x:c r="A138" s="58" t="n">
        <x:v>133</x:v>
      </x:c>
      <x:c r="B138" s="45" t="str">
        <x:v>Mixed-domain AIP-C01 scenario practice</x:v>
      </x:c>
      <x:c r="C138" s="64" t="n">
        <x:v>10</x:v>
      </x:c>
      <x:c r="D138" s="45" t="str">
        <x:v>Final integration</x:v>
      </x:c>
      <x:c r="E138" s="45" t="str">
        <x:v>Cross-domain synthesis</x:v>
      </x:c>
      <x:c r="F138" s="45" t="str">
        <x:v>Cross-domain synthesis; all tasks</x:v>
      </x:c>
      <x:c r="G138" s="45" t="str">
        <x:v>Cross-domain</x:v>
      </x:c>
      <x:c r="H138" s="45" t="str">
        <x:v>130, 131, 132</x:v>
      </x:c>
      <x:c r="I138" s="45" t="str">
        <x:v>128</x:v>
      </x:c>
      <x:c r="J138" s="64" t="str">
        <x:f>IF(AND(H138="",I138=""),"None",IF(I138="","Hard","Mixed"))</x:f>
        <x:v>Mixed</x:v>
      </x:c>
      <x:c r="K138" s="64" t="str">
        <x:v>Level 4 — Select/Diagnose</x:v>
      </x:c>
      <x:c r="L138" s="64" t="str">
        <x:v>Capstone</x:v>
      </x:c>
      <x:c r="M138" s="45" t="str">
        <x:v>Timed mixed-domain scenarios; select the best answer and explain why alternatives are weaker</x:v>
      </x:c>
      <x:c r="N138" s="45" t="str">
        <x:v>Conditional; Strategic; Metacognitive</x:v>
      </x:c>
      <x:c r="O138" s="45" t="str">
        <x:v>Mixed scenario exams with structured error analysis</x:v>
      </x:c>
      <x:c r="P138" s="46" t="str">
        <x:v>https://docs.aws.amazon.com/aws-certification/latest/ai-professional-01/ai-professional-01.html</x:v>
      </x:c>
    </x:row>
  </x:sheetData>
  <x:mergeCells>
    <x:mergeCell ref="A1:P1"/>
    <x:mergeCell ref="A2:P2"/>
    <x:mergeCell ref="A3:P3"/>
  </x:mergeCells>
  <x:conditionalFormatting sqref="L6:L138">
    <x:cfRule type="expression" dxfId="0" priority="1">
      <x:formula>L6="Hard"</x:formula>
    </x:cfRule>
    <x:cfRule type="expression" dxfId="1" priority="2">
      <x:formula>L6="Soft"</x:formula>
    </x:cfRule>
    <x:cfRule type="expression" dxfId="2" priority="3">
      <x:formula>L6="Capstone"</x:formula>
    </x:cfRule>
  </x:conditionalFormatting>
  <x:conditionalFormatting sqref="K6:K138">
    <x:cfRule type="expression" dxfId="3" priority="4">
      <x:formula>LEFT(K6,7)="Level 2"</x:formula>
    </x:cfRule>
    <x:cfRule type="expression" dxfId="4" priority="5">
      <x:formula>LEFT(K6,7)="Level 3"</x:formula>
    </x:cfRule>
    <x:cfRule type="expression" dxfId="5" priority="6">
      <x:formula>LEFT(K6,7)="Level 4"</x:formula>
    </x:cfRule>
    <x:cfRule type="expression" dxfId="6" priority="7">
      <x:formula>LEFT(K6,7)="Level 5"</x:formula>
    </x:cfRule>
  </x:conditionalFormatting>
  <x:dataValidations count="2">
    <x:dataValidation type="list" sqref="K6:K138">
      <x:formula1>"Level 2 — Explain,Level 3 — Apply/Implement,Level 4 — Select/Diagnose,Level 5 — Design/Defend"</x:formula1>
    </x:dataValidation>
    <x:dataValidation type="list" sqref="L6:L138">
      <x:formula1>"Hard,Soft,Capstone"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55d965cf1748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60" hidden="0" customWidth="1"/>
    <x:col min="5" max="5" width="13" hidden="0" customWidth="1"/>
    <x:col min="6" max="6" width="15" hidden="0" customWidth="1"/>
    <x:col min="7" max="7" width="45" hidden="0" customWidth="1"/>
  </x:cols>
  <x:sheetData>
    <x:row r="1" ht="28" customHeight="1">
      <x:c r="A1" s="5" t="str">
        <x:v>Official AIP-C01 Skill Coverage Audit</x:v>
      </x:c>
      <x:c r="B1" s="5"/>
      <x:c r="C1" s="5"/>
      <x:c r="D1" s="5"/>
      <x:c r="E1" s="5"/>
      <x:c r="F1" s="5"/>
    </x:row>
    <x:row r="2" ht="28" customHeight="1">
      <x:c r="A2" s="12" t="str">
        <x:v>Each official skill must appear in at least one curriculum topic. Topic Count is formula-driven from the Curriculum Matrix.</x:v>
      </x:c>
      <x:c r="B2" s="12"/>
      <x:c r="C2" s="12"/>
      <x:c r="D2" s="12"/>
      <x:c r="E2" s="12"/>
      <x:c r="F2" s="12"/>
    </x:row>
    <x:row r="4" ht="34" customHeight="1">
      <x:c r="A4" s="28" t="str">
        <x:v>Skill ID</x:v>
      </x:c>
      <x:c r="B4" s="28" t="str">
        <x:v>Task ID</x:v>
      </x:c>
      <x:c r="C4" s="28" t="str">
        <x:v>Task Name</x:v>
      </x:c>
      <x:c r="D4" s="28" t="str">
        <x:v>Skill Summary</x:v>
      </x:c>
      <x:c r="E4" s="28" t="str">
        <x:v>Topic Count</x:v>
      </x:c>
      <x:c r="F4" s="28" t="str">
        <x:v>Coverage Status</x:v>
      </x:c>
      <x:c r="G4" s="28" t="str">
        <x:v>Source URL</x:v>
      </x:c>
    </x:row>
    <x:row r="5" ht="38" customHeight="1">
      <x:c r="A5" s="56" t="str">
        <x:v>1.1.1</x:v>
      </x:c>
      <x:c r="B5" s="62" t="str">
        <x:v>1.1</x:v>
      </x:c>
      <x:c r="C5" s="39" t="str">
        <x:v>Analyze requirements and design GenAI solutions</x:v>
      </x:c>
      <x:c r="D5" s="39" t="str">
        <x:v>Create comprehensive architectural designs that align with specific business needs and technical constraints</x:v>
      </x:c>
      <x:c r="E5" s="62" t="n">
        <x:f>COUNTIF('Skill-Topic Map'!$A$5:$A$230,A5)</x:f>
        <x:v>4</x:v>
      </x:c>
      <x:c r="F5" s="62" t="str">
        <x:f>IF(E5&gt;0,"Covered","Missing")</x:f>
        <x:v>Covered</x:v>
      </x:c>
      <x:c r="G5" s="40" t="str">
        <x:v>https://docs.aws.amazon.com/aws-certification/latest/ai-professional-01/ai-professional-01-domain1.html</x:v>
      </x:c>
    </x:row>
    <x:row r="6" ht="38" customHeight="1">
      <x:c r="A6" s="57" t="str">
        <x:v>1.1.2</x:v>
      </x:c>
      <x:c r="B6" s="63" t="str">
        <x:v>1.1</x:v>
      </x:c>
      <x:c r="C6" s="42" t="str">
        <x:v>Analyze requirements and design GenAI solutions</x:v>
      </x:c>
      <x:c r="D6" s="42" t="str">
        <x:v>Develop technical proof-of-concept implementations to validate feasibility, performance characteristics, and business value before proceeding to full-scale deployment</x:v>
      </x:c>
      <x:c r="E6" s="63" t="n">
        <x:f>COUNTIF('Skill-Topic Map'!$A$5:$A$230,A6)</x:f>
        <x:v>2</x:v>
      </x:c>
      <x:c r="F6" s="63" t="str">
        <x:f>IF(E6&gt;0,"Covered","Missing")</x:f>
        <x:v>Covered</x:v>
      </x:c>
      <x:c r="G6" s="43" t="str">
        <x:v>https://docs.aws.amazon.com/aws-certification/latest/ai-professional-01/ai-professional-01-domain1.html</x:v>
      </x:c>
    </x:row>
    <x:row r="7" ht="38" customHeight="1">
      <x:c r="A7" s="57" t="str">
        <x:v>1.1.3</x:v>
      </x:c>
      <x:c r="B7" s="63" t="str">
        <x:v>1.1</x:v>
      </x:c>
      <x:c r="C7" s="42" t="str">
        <x:v>Analyze requirements and design GenAI solutions</x:v>
      </x:c>
      <x:c r="D7" s="42" t="str">
        <x:v>Create standardized technical components to ensure consistent implementation across multiple deployment scenarios</x:v>
      </x:c>
      <x:c r="E7" s="63" t="n">
        <x:f>COUNTIF('Skill-Topic Map'!$A$5:$A$230,A7)</x:f>
        <x:v>4</x:v>
      </x:c>
      <x:c r="F7" s="63" t="str">
        <x:f>IF(E7&gt;0,"Covered","Missing")</x:f>
        <x:v>Covered</x:v>
      </x:c>
      <x:c r="G7" s="43" t="str">
        <x:v>https://docs.aws.amazon.com/aws-certification/latest/ai-professional-01/ai-professional-01-domain1.html</x:v>
      </x:c>
    </x:row>
    <x:row r="8" ht="38" customHeight="1">
      <x:c r="A8" s="57" t="str">
        <x:v>1.2.1</x:v>
      </x:c>
      <x:c r="B8" s="63" t="str">
        <x:v>1.2</x:v>
      </x:c>
      <x:c r="C8" s="42" t="str">
        <x:v>Select and configure FMs</x:v>
      </x:c>
      <x:c r="D8" s="42" t="str">
        <x:v>Assess and choose FMs to ensure optimal alignment with specific business use cases and technical requirements</x:v>
      </x:c>
      <x:c r="E8" s="63" t="n">
        <x:f>COUNTIF('Skill-Topic Map'!$A$5:$A$230,A8)</x:f>
        <x:v>4</x:v>
      </x:c>
      <x:c r="F8" s="63" t="str">
        <x:f>IF(E8&gt;0,"Covered","Missing")</x:f>
        <x:v>Covered</x:v>
      </x:c>
      <x:c r="G8" s="43" t="str">
        <x:v>https://docs.aws.amazon.com/aws-certification/latest/ai-professional-01/ai-professional-01-domain1.html</x:v>
      </x:c>
    </x:row>
    <x:row r="9" ht="38" customHeight="1">
      <x:c r="A9" s="57" t="str">
        <x:v>1.2.2</x:v>
      </x:c>
      <x:c r="B9" s="63" t="str">
        <x:v>1.2</x:v>
      </x:c>
      <x:c r="C9" s="42" t="str">
        <x:v>Select and configure FMs</x:v>
      </x:c>
      <x:c r="D9" s="42" t="str">
        <x:v>Create flexible architecture patterns to enable dynamic model selection and provider switching without requiring code modifications</x:v>
      </x:c>
      <x:c r="E9" s="63" t="n">
        <x:f>COUNTIF('Skill-Topic Map'!$A$5:$A$230,A9)</x:f>
        <x:v>1</x:v>
      </x:c>
      <x:c r="F9" s="63" t="str">
        <x:f>IF(E9&gt;0,"Covered","Missing")</x:f>
        <x:v>Covered</x:v>
      </x:c>
      <x:c r="G9" s="43" t="str">
        <x:v>https://docs.aws.amazon.com/aws-certification/latest/ai-professional-01/ai-professional-01-domain1.html</x:v>
      </x:c>
    </x:row>
    <x:row r="10" ht="38" customHeight="1">
      <x:c r="A10" s="57" t="str">
        <x:v>1.2.3</x:v>
      </x:c>
      <x:c r="B10" s="63" t="str">
        <x:v>1.2</x:v>
      </x:c>
      <x:c r="C10" s="42" t="str">
        <x:v>Select and configure FMs</x:v>
      </x:c>
      <x:c r="D10" s="42" t="str">
        <x:v>Design resilient AI systems to ensure continuous operation during service disruptions</x:v>
      </x:c>
      <x:c r="E10" s="63" t="n">
        <x:f>COUNTIF('Skill-Topic Map'!$A$5:$A$230,A10)</x:f>
        <x:v>2</x:v>
      </x:c>
      <x:c r="F10" s="63" t="str">
        <x:f>IF(E10&gt;0,"Covered","Missing")</x:f>
        <x:v>Covered</x:v>
      </x:c>
      <x:c r="G10" s="43" t="str">
        <x:v>https://docs.aws.amazon.com/aws-certification/latest/ai-professional-01/ai-professional-01-domain1.html</x:v>
      </x:c>
    </x:row>
    <x:row r="11" ht="38" customHeight="1">
      <x:c r="A11" s="57" t="str">
        <x:v>1.2.4</x:v>
      </x:c>
      <x:c r="B11" s="63" t="str">
        <x:v>1.2</x:v>
      </x:c>
      <x:c r="C11" s="42" t="str">
        <x:v>Select and configure FMs</x:v>
      </x:c>
      <x:c r="D11" s="42" t="str">
        <x:v>Implement FM customization deployment and lifecycle management</x:v>
      </x:c>
      <x:c r="E11" s="63" t="n">
        <x:f>COUNTIF('Skill-Topic Map'!$A$5:$A$230,A11)</x:f>
        <x:v>2</x:v>
      </x:c>
      <x:c r="F11" s="63" t="str">
        <x:f>IF(E11&gt;0,"Covered","Missing")</x:f>
        <x:v>Covered</x:v>
      </x:c>
      <x:c r="G11" s="43" t="str">
        <x:v>https://docs.aws.amazon.com/aws-certification/latest/ai-professional-01/ai-professional-01-domain1.html</x:v>
      </x:c>
    </x:row>
    <x:row r="12" ht="38" customHeight="1">
      <x:c r="A12" s="57" t="str">
        <x:v>1.3.1</x:v>
      </x:c>
      <x:c r="B12" s="63" t="str">
        <x:v>1.3</x:v>
      </x:c>
      <x:c r="C12" s="42" t="str">
        <x:v>Implement data validation and processing pipelines for FM consumption</x:v>
      </x:c>
      <x:c r="D12" s="42" t="str">
        <x:v>Create comprehensive data validation workflows to ensure data meets quality standards for FM consumption</x:v>
      </x:c>
      <x:c r="E12" s="63" t="n">
        <x:f>COUNTIF('Skill-Topic Map'!$A$5:$A$230,A12)</x:f>
        <x:v>1</x:v>
      </x:c>
      <x:c r="F12" s="63" t="str">
        <x:f>IF(E12&gt;0,"Covered","Missing")</x:f>
        <x:v>Covered</x:v>
      </x:c>
      <x:c r="G12" s="43" t="str">
        <x:v>https://docs.aws.amazon.com/aws-certification/latest/ai-professional-01/ai-professional-01-domain1.html</x:v>
      </x:c>
    </x:row>
    <x:row r="13" ht="38" customHeight="1">
      <x:c r="A13" s="57" t="str">
        <x:v>1.3.2</x:v>
      </x:c>
      <x:c r="B13" s="63" t="str">
        <x:v>1.3</x:v>
      </x:c>
      <x:c r="C13" s="42" t="str">
        <x:v>Implement data validation and processing pipelines for FM consumption</x:v>
      </x:c>
      <x:c r="D13" s="42" t="str">
        <x:v>Create data processing workflows to handle complex data types including text, image, audio, and tabular data with specialized processing requirements for FM consumption</x:v>
      </x:c>
      <x:c r="E13" s="63" t="n">
        <x:f>COUNTIF('Skill-Topic Map'!$A$5:$A$230,A13)</x:f>
        <x:v>1</x:v>
      </x:c>
      <x:c r="F13" s="63" t="str">
        <x:f>IF(E13&gt;0,"Covered","Missing")</x:f>
        <x:v>Covered</x:v>
      </x:c>
      <x:c r="G13" s="43" t="str">
        <x:v>https://docs.aws.amazon.com/aws-certification/latest/ai-professional-01/ai-professional-01-domain1.html</x:v>
      </x:c>
    </x:row>
    <x:row r="14" ht="38" customHeight="1">
      <x:c r="A14" s="57" t="str">
        <x:v>1.3.3</x:v>
      </x:c>
      <x:c r="B14" s="63" t="str">
        <x:v>1.3</x:v>
      </x:c>
      <x:c r="C14" s="42" t="str">
        <x:v>Implement data validation and processing pipelines for FM consumption</x:v>
      </x:c>
      <x:c r="D14" s="42" t="str">
        <x:v>Format input data for FM inference according to model-specific requirements</x:v>
      </x:c>
      <x:c r="E14" s="63" t="n">
        <x:f>COUNTIF('Skill-Topic Map'!$A$5:$A$230,A14)</x:f>
        <x:v>2</x:v>
      </x:c>
      <x:c r="F14" s="63" t="str">
        <x:f>IF(E14&gt;0,"Covered","Missing")</x:f>
        <x:v>Covered</x:v>
      </x:c>
      <x:c r="G14" s="43" t="str">
        <x:v>https://docs.aws.amazon.com/aws-certification/latest/ai-professional-01/ai-professional-01-domain1.html</x:v>
      </x:c>
    </x:row>
    <x:row r="15" ht="38" customHeight="1">
      <x:c r="A15" s="57" t="str">
        <x:v>1.3.4</x:v>
      </x:c>
      <x:c r="B15" s="63" t="str">
        <x:v>1.3</x:v>
      </x:c>
      <x:c r="C15" s="42" t="str">
        <x:v>Implement data validation and processing pipelines for FM consumption</x:v>
      </x:c>
      <x:c r="D15" s="42" t="str">
        <x:v>Enhance input data quality to improve FM response quality and consistency</x:v>
      </x:c>
      <x:c r="E15" s="63" t="n">
        <x:f>COUNTIF('Skill-Topic Map'!$A$5:$A$230,A15)</x:f>
        <x:v>1</x:v>
      </x:c>
      <x:c r="F15" s="63" t="str">
        <x:f>IF(E15&gt;0,"Covered","Missing")</x:f>
        <x:v>Covered</x:v>
      </x:c>
      <x:c r="G15" s="43" t="str">
        <x:v>https://docs.aws.amazon.com/aws-certification/latest/ai-professional-01/ai-professional-01-domain1.html</x:v>
      </x:c>
    </x:row>
    <x:row r="16" ht="38" customHeight="1">
      <x:c r="A16" s="57" t="str">
        <x:v>1.4.1</x:v>
      </x:c>
      <x:c r="B16" s="63" t="str">
        <x:v>1.4</x:v>
      </x:c>
      <x:c r="C16" s="42" t="str">
        <x:v>Design and implement vector store solutions</x:v>
      </x:c>
      <x:c r="D16" s="42" t="str">
        <x:v>Create advanced vector database architectures specifically for FM augmentation to enable efficient semantic retrieval beyond traditional search capabilities</x:v>
      </x:c>
      <x:c r="E16" s="63" t="n">
        <x:f>COUNTIF('Skill-Topic Map'!$A$5:$A$230,A16)</x:f>
        <x:v>2</x:v>
      </x:c>
      <x:c r="F16" s="63" t="str">
        <x:f>IF(E16&gt;0,"Covered","Missing")</x:f>
        <x:v>Covered</x:v>
      </x:c>
      <x:c r="G16" s="43" t="str">
        <x:v>https://docs.aws.amazon.com/aws-certification/latest/ai-professional-01/ai-professional-01-domain1.html</x:v>
      </x:c>
    </x:row>
    <x:row r="17" ht="38" customHeight="1">
      <x:c r="A17" s="57" t="str">
        <x:v>1.4.2</x:v>
      </x:c>
      <x:c r="B17" s="63" t="str">
        <x:v>1.4</x:v>
      </x:c>
      <x:c r="C17" s="42" t="str">
        <x:v>Design and implement vector store solutions</x:v>
      </x:c>
      <x:c r="D17" s="42" t="str">
        <x:v>Develop comprehensive metadata frameworks to improve search precision and context awareness for FM interactions</x:v>
      </x:c>
      <x:c r="E17" s="63" t="n">
        <x:f>COUNTIF('Skill-Topic Map'!$A$5:$A$230,A17)</x:f>
        <x:v>1</x:v>
      </x:c>
      <x:c r="F17" s="63" t="str">
        <x:f>IF(E17&gt;0,"Covered","Missing")</x:f>
        <x:v>Covered</x:v>
      </x:c>
      <x:c r="G17" s="43" t="str">
        <x:v>https://docs.aws.amazon.com/aws-certification/latest/ai-professional-01/ai-professional-01-domain1.html</x:v>
      </x:c>
    </x:row>
    <x:row r="18" ht="38" customHeight="1">
      <x:c r="A18" s="57" t="str">
        <x:v>1.4.3</x:v>
      </x:c>
      <x:c r="B18" s="63" t="str">
        <x:v>1.4</x:v>
      </x:c>
      <x:c r="C18" s="42" t="str">
        <x:v>Design and implement vector store solutions</x:v>
      </x:c>
      <x:c r="D18" s="42" t="str">
        <x:v>Implement high-performance vector database architectures to optimize semantic search performance at scale for FM retrieval</x:v>
      </x:c>
      <x:c r="E18" s="63" t="n">
        <x:f>COUNTIF('Skill-Topic Map'!$A$5:$A$230,A18)</x:f>
        <x:v>1</x:v>
      </x:c>
      <x:c r="F18" s="63" t="str">
        <x:f>IF(E18&gt;0,"Covered","Missing")</x:f>
        <x:v>Covered</x:v>
      </x:c>
      <x:c r="G18" s="43" t="str">
        <x:v>https://docs.aws.amazon.com/aws-certification/latest/ai-professional-01/ai-professional-01-domain1.html</x:v>
      </x:c>
    </x:row>
    <x:row r="19" ht="38" customHeight="1">
      <x:c r="A19" s="57" t="str">
        <x:v>1.4.4</x:v>
      </x:c>
      <x:c r="B19" s="63" t="str">
        <x:v>1.4</x:v>
      </x:c>
      <x:c r="C19" s="42" t="str">
        <x:v>Design and implement vector store solutions</x:v>
      </x:c>
      <x:c r="D19" s="42" t="str">
        <x:v>Use AWS services to create integration components to connect with resources</x:v>
      </x:c>
      <x:c r="E19" s="63" t="n">
        <x:f>COUNTIF('Skill-Topic Map'!$A$5:$A$230,A19)</x:f>
        <x:v>1</x:v>
      </x:c>
      <x:c r="F19" s="63" t="str">
        <x:f>IF(E19&gt;0,"Covered","Missing")</x:f>
        <x:v>Covered</x:v>
      </x:c>
      <x:c r="G19" s="43" t="str">
        <x:v>https://docs.aws.amazon.com/aws-certification/latest/ai-professional-01/ai-professional-01-domain1.html</x:v>
      </x:c>
    </x:row>
    <x:row r="20" ht="38" customHeight="1">
      <x:c r="A20" s="57" t="str">
        <x:v>1.4.5</x:v>
      </x:c>
      <x:c r="B20" s="63" t="str">
        <x:v>1.4</x:v>
      </x:c>
      <x:c r="C20" s="42" t="str">
        <x:v>Design and implement vector store solutions</x:v>
      </x:c>
      <x:c r="D20" s="42" t="str">
        <x:v>Design and deploy data maintenance systems to ensure that vector stores contain current and accurate information for FM augmentation</x:v>
      </x:c>
      <x:c r="E20" s="63" t="n">
        <x:f>COUNTIF('Skill-Topic Map'!$A$5:$A$230,A20)</x:f>
        <x:v>1</x:v>
      </x:c>
      <x:c r="F20" s="63" t="str">
        <x:f>IF(E20&gt;0,"Covered","Missing")</x:f>
        <x:v>Covered</x:v>
      </x:c>
      <x:c r="G20" s="43" t="str">
        <x:v>https://docs.aws.amazon.com/aws-certification/latest/ai-professional-01/ai-professional-01-domain1.html</x:v>
      </x:c>
    </x:row>
    <x:row r="21" ht="38" customHeight="1">
      <x:c r="A21" s="57" t="str">
        <x:v>1.5.1</x:v>
      </x:c>
      <x:c r="B21" s="63" t="str">
        <x:v>1.5</x:v>
      </x:c>
      <x:c r="C21" s="42" t="str">
        <x:v>Design retrieval mechanisms for FM augmentation</x:v>
      </x:c>
      <x:c r="D21" s="42" t="str">
        <x:v>Develop effective document segmentation approaches to optimize retrieval performance for FM context augmentation</x:v>
      </x:c>
      <x:c r="E21" s="63" t="n">
        <x:f>COUNTIF('Skill-Topic Map'!$A$5:$A$230,A21)</x:f>
        <x:v>1</x:v>
      </x:c>
      <x:c r="F21" s="63" t="str">
        <x:f>IF(E21&gt;0,"Covered","Missing")</x:f>
        <x:v>Covered</x:v>
      </x:c>
      <x:c r="G21" s="43" t="str">
        <x:v>https://docs.aws.amazon.com/aws-certification/latest/ai-professional-01/ai-professional-01-domain1.html</x:v>
      </x:c>
    </x:row>
    <x:row r="22" ht="38" customHeight="1">
      <x:c r="A22" s="57" t="str">
        <x:v>1.5.2</x:v>
      </x:c>
      <x:c r="B22" s="63" t="str">
        <x:v>1.5</x:v>
      </x:c>
      <x:c r="C22" s="42" t="str">
        <x:v>Design retrieval mechanisms for FM augmentation</x:v>
      </x:c>
      <x:c r="D22" s="42" t="str">
        <x:v>Select and configure optimal embedding solutions to create efficient vector representations for semantic search</x:v>
      </x:c>
      <x:c r="E22" s="63" t="n">
        <x:f>COUNTIF('Skill-Topic Map'!$A$5:$A$230,A22)</x:f>
        <x:v>1</x:v>
      </x:c>
      <x:c r="F22" s="63" t="str">
        <x:f>IF(E22&gt;0,"Covered","Missing")</x:f>
        <x:v>Covered</x:v>
      </x:c>
      <x:c r="G22" s="43" t="str">
        <x:v>https://docs.aws.amazon.com/aws-certification/latest/ai-professional-01/ai-professional-01-domain1.html</x:v>
      </x:c>
    </x:row>
    <x:row r="23" ht="38" customHeight="1">
      <x:c r="A23" s="57" t="str">
        <x:v>1.5.3</x:v>
      </x:c>
      <x:c r="B23" s="63" t="str">
        <x:v>1.5</x:v>
      </x:c>
      <x:c r="C23" s="42" t="str">
        <x:v>Design retrieval mechanisms for FM augmentation</x:v>
      </x:c>
      <x:c r="D23" s="42" t="str">
        <x:v>Deploy and configure vector search solutions to enable semantic search capabilities for FM augmentation</x:v>
      </x:c>
      <x:c r="E23" s="63" t="n">
        <x:f>COUNTIF('Skill-Topic Map'!$A$5:$A$230,A23)</x:f>
        <x:v>3</x:v>
      </x:c>
      <x:c r="F23" s="63" t="str">
        <x:f>IF(E23&gt;0,"Covered","Missing")</x:f>
        <x:v>Covered</x:v>
      </x:c>
      <x:c r="G23" s="43" t="str">
        <x:v>https://docs.aws.amazon.com/aws-certification/latest/ai-professional-01/ai-professional-01-domain1.html</x:v>
      </x:c>
    </x:row>
    <x:row r="24" ht="38" customHeight="1">
      <x:c r="A24" s="57" t="str">
        <x:v>1.5.4</x:v>
      </x:c>
      <x:c r="B24" s="63" t="str">
        <x:v>1.5</x:v>
      </x:c>
      <x:c r="C24" s="42" t="str">
        <x:v>Design retrieval mechanisms for FM augmentation</x:v>
      </x:c>
      <x:c r="D24" s="42" t="str">
        <x:v>Create advanced search architectures to improve the relevance and accuracy of retrieved information for FM context</x:v>
      </x:c>
      <x:c r="E24" s="63" t="n">
        <x:f>COUNTIF('Skill-Topic Map'!$A$5:$A$230,A24)</x:f>
        <x:v>2</x:v>
      </x:c>
      <x:c r="F24" s="63" t="str">
        <x:f>IF(E24&gt;0,"Covered","Missing")</x:f>
        <x:v>Covered</x:v>
      </x:c>
      <x:c r="G24" s="43" t="str">
        <x:v>https://docs.aws.amazon.com/aws-certification/latest/ai-professional-01/ai-professional-01-domain1.html</x:v>
      </x:c>
    </x:row>
    <x:row r="25" ht="38" customHeight="1">
      <x:c r="A25" s="57" t="str">
        <x:v>1.5.5</x:v>
      </x:c>
      <x:c r="B25" s="63" t="str">
        <x:v>1.5</x:v>
      </x:c>
      <x:c r="C25" s="42" t="str">
        <x:v>Design retrieval mechanisms for FM augmentation</x:v>
      </x:c>
      <x:c r="D25" s="42" t="str">
        <x:v>Develop sophisticated query handling systems to improve the retrieval effectiveness and result quality for FM augmentation</x:v>
      </x:c>
      <x:c r="E25" s="63" t="n">
        <x:f>COUNTIF('Skill-Topic Map'!$A$5:$A$230,A25)</x:f>
        <x:v>1</x:v>
      </x:c>
      <x:c r="F25" s="63" t="str">
        <x:f>IF(E25&gt;0,"Covered","Missing")</x:f>
        <x:v>Covered</x:v>
      </x:c>
      <x:c r="G25" s="43" t="str">
        <x:v>https://docs.aws.amazon.com/aws-certification/latest/ai-professional-01/ai-professional-01-domain1.html</x:v>
      </x:c>
    </x:row>
    <x:row r="26" ht="38" customHeight="1">
      <x:c r="A26" s="57" t="str">
        <x:v>1.5.6</x:v>
      </x:c>
      <x:c r="B26" s="63" t="str">
        <x:v>1.5</x:v>
      </x:c>
      <x:c r="C26" s="42" t="str">
        <x:v>Design retrieval mechanisms for FM augmentation</x:v>
      </x:c>
      <x:c r="D26" s="42" t="str">
        <x:v>Create consistent access mechanisms to enable seamless integration with FMs</x:v>
      </x:c>
      <x:c r="E26" s="63" t="n">
        <x:f>COUNTIF('Skill-Topic Map'!$A$5:$A$230,A26)</x:f>
        <x:v>2</x:v>
      </x:c>
      <x:c r="F26" s="63" t="str">
        <x:f>IF(E26&gt;0,"Covered","Missing")</x:f>
        <x:v>Covered</x:v>
      </x:c>
      <x:c r="G26" s="43" t="str">
        <x:v>https://docs.aws.amazon.com/aws-certification/latest/ai-professional-01/ai-professional-01-domain1.html</x:v>
      </x:c>
    </x:row>
    <x:row r="27" ht="38" customHeight="1">
      <x:c r="A27" s="57" t="str">
        <x:v>1.6.1</x:v>
      </x:c>
      <x:c r="B27" s="63" t="str">
        <x:v>1.6</x:v>
      </x:c>
      <x:c r="C27" s="42" t="str">
        <x:v>Implement prompt engineering strategies and governance for FM interactions</x:v>
      </x:c>
      <x:c r="D27" s="42" t="str">
        <x:v>Create effective model instruction frameworks to control FM behavior and outputs</x:v>
      </x:c>
      <x:c r="E27" s="63" t="n">
        <x:f>COUNTIF('Skill-Topic Map'!$A$5:$A$230,A27)</x:f>
        <x:v>1</x:v>
      </x:c>
      <x:c r="F27" s="63" t="str">
        <x:f>IF(E27&gt;0,"Covered","Missing")</x:f>
        <x:v>Covered</x:v>
      </x:c>
      <x:c r="G27" s="43" t="str">
        <x:v>https://docs.aws.amazon.com/aws-certification/latest/ai-professional-01/ai-professional-01-domain1.html</x:v>
      </x:c>
    </x:row>
    <x:row r="28" ht="38" customHeight="1">
      <x:c r="A28" s="57" t="str">
        <x:v>1.6.2</x:v>
      </x:c>
      <x:c r="B28" s="63" t="str">
        <x:v>1.6</x:v>
      </x:c>
      <x:c r="C28" s="42" t="str">
        <x:v>Implement prompt engineering strategies and governance for FM interactions</x:v>
      </x:c>
      <x:c r="D28" s="42" t="str">
        <x:v>Build interactive AI systems to maintain context and improve user interactions with FMs</x:v>
      </x:c>
      <x:c r="E28" s="63" t="n">
        <x:f>COUNTIF('Skill-Topic Map'!$A$5:$A$230,A28)</x:f>
        <x:v>1</x:v>
      </x:c>
      <x:c r="F28" s="63" t="str">
        <x:f>IF(E28&gt;0,"Covered","Missing")</x:f>
        <x:v>Covered</x:v>
      </x:c>
      <x:c r="G28" s="43" t="str">
        <x:v>https://docs.aws.amazon.com/aws-certification/latest/ai-professional-01/ai-professional-01-domain1.html</x:v>
      </x:c>
    </x:row>
    <x:row r="29" ht="38" customHeight="1">
      <x:c r="A29" s="57" t="str">
        <x:v>1.6.3</x:v>
      </x:c>
      <x:c r="B29" s="63" t="str">
        <x:v>1.6</x:v>
      </x:c>
      <x:c r="C29" s="42" t="str">
        <x:v>Implement prompt engineering strategies and governance for FM interactions</x:v>
      </x:c>
      <x:c r="D29" s="42" t="str">
        <x:v>Implement comprehensive prompt management and governance systems to ensure consistency and oversight of FM operations</x:v>
      </x:c>
      <x:c r="E29" s="63" t="n">
        <x:f>COUNTIF('Skill-Topic Map'!$A$5:$A$230,A29)</x:f>
        <x:v>1</x:v>
      </x:c>
      <x:c r="F29" s="63" t="str">
        <x:f>IF(E29&gt;0,"Covered","Missing")</x:f>
        <x:v>Covered</x:v>
      </x:c>
      <x:c r="G29" s="43" t="str">
        <x:v>https://docs.aws.amazon.com/aws-certification/latest/ai-professional-01/ai-professional-01-domain1.html</x:v>
      </x:c>
    </x:row>
    <x:row r="30" ht="38" customHeight="1">
      <x:c r="A30" s="57" t="str">
        <x:v>1.6.4</x:v>
      </x:c>
      <x:c r="B30" s="63" t="str">
        <x:v>1.6</x:v>
      </x:c>
      <x:c r="C30" s="42" t="str">
        <x:v>Implement prompt engineering strategies and governance for FM interactions</x:v>
      </x:c>
      <x:c r="D30" s="42" t="str">
        <x:v>Develop quality assurance systems to ensure prompt effectiveness and reliability for FMs</x:v>
      </x:c>
      <x:c r="E30" s="63" t="n">
        <x:f>COUNTIF('Skill-Topic Map'!$A$5:$A$230,A30)</x:f>
        <x:v>1</x:v>
      </x:c>
      <x:c r="F30" s="63" t="str">
        <x:f>IF(E30&gt;0,"Covered","Missing")</x:f>
        <x:v>Covered</x:v>
      </x:c>
      <x:c r="G30" s="43" t="str">
        <x:v>https://docs.aws.amazon.com/aws-certification/latest/ai-professional-01/ai-professional-01-domain1.html</x:v>
      </x:c>
    </x:row>
    <x:row r="31" ht="38" customHeight="1">
      <x:c r="A31" s="57" t="str">
        <x:v>1.6.5</x:v>
      </x:c>
      <x:c r="B31" s="63" t="str">
        <x:v>1.6</x:v>
      </x:c>
      <x:c r="C31" s="42" t="str">
        <x:v>Implement prompt engineering strategies and governance for FM interactions</x:v>
      </x:c>
      <x:c r="D31" s="42" t="str">
        <x:v>Enhance FM performance to refine prompts iteratively and improve response quality beyond basic prompting techniques</x:v>
      </x:c>
      <x:c r="E31" s="63" t="n">
        <x:f>COUNTIF('Skill-Topic Map'!$A$5:$A$230,A31)</x:f>
        <x:v>3</x:v>
      </x:c>
      <x:c r="F31" s="63" t="str">
        <x:f>IF(E31&gt;0,"Covered","Missing")</x:f>
        <x:v>Covered</x:v>
      </x:c>
      <x:c r="G31" s="43" t="str">
        <x:v>https://docs.aws.amazon.com/aws-certification/latest/ai-professional-01/ai-professional-01-domain1.html</x:v>
      </x:c>
    </x:row>
    <x:row r="32" ht="38" customHeight="1">
      <x:c r="A32" s="57" t="str">
        <x:v>1.6.6</x:v>
      </x:c>
      <x:c r="B32" s="63" t="str">
        <x:v>1.6</x:v>
      </x:c>
      <x:c r="C32" s="42" t="str">
        <x:v>Implement prompt engineering strategies and governance for FM interactions</x:v>
      </x:c>
      <x:c r="D32" s="42" t="str">
        <x:v>Design complex prompt systems to handle sophisticated tasks with FMs</x:v>
      </x:c>
      <x:c r="E32" s="63" t="n">
        <x:f>COUNTIF('Skill-Topic Map'!$A$5:$A$230,A32)</x:f>
        <x:v>1</x:v>
      </x:c>
      <x:c r="F32" s="63" t="str">
        <x:f>IF(E32&gt;0,"Covered","Missing")</x:f>
        <x:v>Covered</x:v>
      </x:c>
      <x:c r="G32" s="43" t="str">
        <x:v>https://docs.aws.amazon.com/aws-certification/latest/ai-professional-01/ai-professional-01-domain1.html</x:v>
      </x:c>
    </x:row>
    <x:row r="33" ht="38" customHeight="1">
      <x:c r="A33" s="57" t="str">
        <x:v>2.1.1</x:v>
      </x:c>
      <x:c r="B33" s="63" t="str">
        <x:v>2.1</x:v>
      </x:c>
      <x:c r="C33" s="42" t="str">
        <x:v>Implement agentic AI solutions and tool integrations</x:v>
      </x:c>
      <x:c r="D33" s="42" t="str">
        <x:v>Develop intelligent autonomous systems with appropriate memory and state management capabilities</x:v>
      </x:c>
      <x:c r="E33" s="63" t="n">
        <x:f>COUNTIF('Skill-Topic Map'!$A$5:$A$230,A33)</x:f>
        <x:v>4</x:v>
      </x:c>
      <x:c r="F33" s="63" t="str">
        <x:f>IF(E33&gt;0,"Covered","Missing")</x:f>
        <x:v>Covered</x:v>
      </x:c>
      <x:c r="G33" s="43" t="str">
        <x:v>https://docs.aws.amazon.com/aws-certification/latest/ai-professional-01/ai-professional-01-domain2.html</x:v>
      </x:c>
    </x:row>
    <x:row r="34" ht="38" customHeight="1">
      <x:c r="A34" s="57" t="str">
        <x:v>2.1.2</x:v>
      </x:c>
      <x:c r="B34" s="63" t="str">
        <x:v>2.1</x:v>
      </x:c>
      <x:c r="C34" s="42" t="str">
        <x:v>Implement agentic AI solutions and tool integrations</x:v>
      </x:c>
      <x:c r="D34" s="42" t="str">
        <x:v>Create advanced problem-solving systems to give FMs the ability to break down and solve complex problems by following structured reasoning steps</x:v>
      </x:c>
      <x:c r="E34" s="63" t="n">
        <x:f>COUNTIF('Skill-Topic Map'!$A$5:$A$230,A34)</x:f>
        <x:v>1</x:v>
      </x:c>
      <x:c r="F34" s="63" t="str">
        <x:f>IF(E34&gt;0,"Covered","Missing")</x:f>
        <x:v>Covered</x:v>
      </x:c>
      <x:c r="G34" s="43" t="str">
        <x:v>https://docs.aws.amazon.com/aws-certification/latest/ai-professional-01/ai-professional-01-domain2.html</x:v>
      </x:c>
    </x:row>
    <x:row r="35" ht="38" customHeight="1">
      <x:c r="A35" s="57" t="str">
        <x:v>2.1.3</x:v>
      </x:c>
      <x:c r="B35" s="63" t="str">
        <x:v>2.1</x:v>
      </x:c>
      <x:c r="C35" s="42" t="str">
        <x:v>Implement agentic AI solutions and tool integrations</x:v>
      </x:c>
      <x:c r="D35" s="42" t="str">
        <x:v>Develop safeguarded AI workflows to ensure controlled FM behavior</x:v>
      </x:c>
      <x:c r="E35" s="63" t="n">
        <x:f>COUNTIF('Skill-Topic Map'!$A$5:$A$230,A35)</x:f>
        <x:v>2</x:v>
      </x:c>
      <x:c r="F35" s="63" t="str">
        <x:f>IF(E35&gt;0,"Covered","Missing")</x:f>
        <x:v>Covered</x:v>
      </x:c>
      <x:c r="G35" s="43" t="str">
        <x:v>https://docs.aws.amazon.com/aws-certification/latest/ai-professional-01/ai-professional-01-domain2.html</x:v>
      </x:c>
    </x:row>
    <x:row r="36" ht="38" customHeight="1">
      <x:c r="A36" s="57" t="str">
        <x:v>2.1.4</x:v>
      </x:c>
      <x:c r="B36" s="63" t="str">
        <x:v>2.1</x:v>
      </x:c>
      <x:c r="C36" s="42" t="str">
        <x:v>Implement agentic AI solutions and tool integrations</x:v>
      </x:c>
      <x:c r="D36" s="42" t="str">
        <x:v>Create sophisticated model coordination systems to optimize performance across multiple capabilities</x:v>
      </x:c>
      <x:c r="E36" s="63" t="n">
        <x:f>COUNTIF('Skill-Topic Map'!$A$5:$A$230,A36)</x:f>
        <x:v>3</x:v>
      </x:c>
      <x:c r="F36" s="63" t="str">
        <x:f>IF(E36&gt;0,"Covered","Missing")</x:f>
        <x:v>Covered</x:v>
      </x:c>
      <x:c r="G36" s="43" t="str">
        <x:v>https://docs.aws.amazon.com/aws-certification/latest/ai-professional-01/ai-professional-01-domain2.html</x:v>
      </x:c>
    </x:row>
    <x:row r="37" ht="38" customHeight="1">
      <x:c r="A37" s="57" t="str">
        <x:v>2.1.5</x:v>
      </x:c>
      <x:c r="B37" s="63" t="str">
        <x:v>2.1</x:v>
      </x:c>
      <x:c r="C37" s="42" t="str">
        <x:v>Implement agentic AI solutions and tool integrations</x:v>
      </x:c>
      <x:c r="D37" s="42" t="str">
        <x:v>Develop collaborative AI systems to enhance FM capabilities with human expertise</x:v>
      </x:c>
      <x:c r="E37" s="63" t="n">
        <x:f>COUNTIF('Skill-Topic Map'!$A$5:$A$230,A37)</x:f>
        <x:v>1</x:v>
      </x:c>
      <x:c r="F37" s="63" t="str">
        <x:f>IF(E37&gt;0,"Covered","Missing")</x:f>
        <x:v>Covered</x:v>
      </x:c>
      <x:c r="G37" s="43" t="str">
        <x:v>https://docs.aws.amazon.com/aws-certification/latest/ai-professional-01/ai-professional-01-domain2.html</x:v>
      </x:c>
    </x:row>
    <x:row r="38" ht="38" customHeight="1">
      <x:c r="A38" s="57" t="str">
        <x:v>2.1.6</x:v>
      </x:c>
      <x:c r="B38" s="63" t="str">
        <x:v>2.1</x:v>
      </x:c>
      <x:c r="C38" s="42" t="str">
        <x:v>Implement agentic AI solutions and tool integrations</x:v>
      </x:c>
      <x:c r="D38" s="42" t="str">
        <x:v>Implement intelligent tool integrations to extend FM capabilities and to ensure reliable tool operations</x:v>
      </x:c>
      <x:c r="E38" s="63" t="n">
        <x:f>COUNTIF('Skill-Topic Map'!$A$5:$A$230,A38)</x:f>
        <x:v>3</x:v>
      </x:c>
      <x:c r="F38" s="63" t="str">
        <x:f>IF(E38&gt;0,"Covered","Missing")</x:f>
        <x:v>Covered</x:v>
      </x:c>
      <x:c r="G38" s="43" t="str">
        <x:v>https://docs.aws.amazon.com/aws-certification/latest/ai-professional-01/ai-professional-01-domain2.html</x:v>
      </x:c>
    </x:row>
    <x:row r="39" ht="38" customHeight="1">
      <x:c r="A39" s="57" t="str">
        <x:v>2.1.7</x:v>
      </x:c>
      <x:c r="B39" s="63" t="str">
        <x:v>2.1</x:v>
      </x:c>
      <x:c r="C39" s="42" t="str">
        <x:v>Implement agentic AI solutions and tool integrations</x:v>
      </x:c>
      <x:c r="D39" s="42" t="str">
        <x:v>Develop model extension frameworks to enhance FM capabilities</x:v>
      </x:c>
      <x:c r="E39" s="63" t="n">
        <x:f>COUNTIF('Skill-Topic Map'!$A$5:$A$230,A39)</x:f>
        <x:v>1</x:v>
      </x:c>
      <x:c r="F39" s="63" t="str">
        <x:f>IF(E39&gt;0,"Covered","Missing")</x:f>
        <x:v>Covered</x:v>
      </x:c>
      <x:c r="G39" s="43" t="str">
        <x:v>https://docs.aws.amazon.com/aws-certification/latest/ai-professional-01/ai-professional-01-domain2.html</x:v>
      </x:c>
    </x:row>
    <x:row r="40" ht="38" customHeight="1">
      <x:c r="A40" s="57" t="str">
        <x:v>2.2.1</x:v>
      </x:c>
      <x:c r="B40" s="63" t="str">
        <x:v>2.2</x:v>
      </x:c>
      <x:c r="C40" s="42" t="str">
        <x:v>Implement model deployment strategies</x:v>
      </x:c>
      <x:c r="D40" s="42" t="str">
        <x:v>Deploy FMs based on specific application needs and performance requirements</x:v>
      </x:c>
      <x:c r="E40" s="63" t="n">
        <x:f>COUNTIF('Skill-Topic Map'!$A$5:$A$230,A40)</x:f>
        <x:v>3</x:v>
      </x:c>
      <x:c r="F40" s="63" t="str">
        <x:f>IF(E40&gt;0,"Covered","Missing")</x:f>
        <x:v>Covered</x:v>
      </x:c>
      <x:c r="G40" s="43" t="str">
        <x:v>https://docs.aws.amazon.com/aws-certification/latest/ai-professional-01/ai-professional-01-domain2.html</x:v>
      </x:c>
    </x:row>
    <x:row r="41" ht="38" customHeight="1">
      <x:c r="A41" s="57" t="str">
        <x:v>2.2.2</x:v>
      </x:c>
      <x:c r="B41" s="63" t="str">
        <x:v>2.2</x:v>
      </x:c>
      <x:c r="C41" s="42" t="str">
        <x:v>Implement model deployment strategies</x:v>
      </x:c>
      <x:c r="D41" s="42" t="str">
        <x:v>Deploy FM solutions by addressing unique challenges of large language models (LLMs) that differ from traditional ML deployments</x:v>
      </x:c>
      <x:c r="E41" s="63" t="n">
        <x:f>COUNTIF('Skill-Topic Map'!$A$5:$A$230,A41)</x:f>
        <x:v>1</x:v>
      </x:c>
      <x:c r="F41" s="63" t="str">
        <x:f>IF(E41&gt;0,"Covered","Missing")</x:f>
        <x:v>Covered</x:v>
      </x:c>
      <x:c r="G41" s="43" t="str">
        <x:v>https://docs.aws.amazon.com/aws-certification/latest/ai-professional-01/ai-professional-01-domain2.html</x:v>
      </x:c>
    </x:row>
    <x:row r="42" ht="38" customHeight="1">
      <x:c r="A42" s="57" t="str">
        <x:v>2.2.3</x:v>
      </x:c>
      <x:c r="B42" s="63" t="str">
        <x:v>2.2</x:v>
      </x:c>
      <x:c r="C42" s="42" t="str">
        <x:v>Implement model deployment strategies</x:v>
      </x:c>
      <x:c r="D42" s="42" t="str">
        <x:v>Develop optimized FM deployment approaches to balance performance and resource requirements for GenAI workloads</x:v>
      </x:c>
      <x:c r="E42" s="63" t="n">
        <x:f>COUNTIF('Skill-Topic Map'!$A$5:$A$230,A42)</x:f>
        <x:v>4</x:v>
      </x:c>
      <x:c r="F42" s="63" t="str">
        <x:f>IF(E42&gt;0,"Covered","Missing")</x:f>
        <x:v>Covered</x:v>
      </x:c>
      <x:c r="G42" s="43" t="str">
        <x:v>https://docs.aws.amazon.com/aws-certification/latest/ai-professional-01/ai-professional-01-domain2.html</x:v>
      </x:c>
    </x:row>
    <x:row r="43" ht="38" customHeight="1">
      <x:c r="A43" s="57" t="str">
        <x:v>2.3.1</x:v>
      </x:c>
      <x:c r="B43" s="63" t="str">
        <x:v>2.3</x:v>
      </x:c>
      <x:c r="C43" s="42" t="str">
        <x:v>Design and implement enterprise integration architectures</x:v>
      </x:c>
      <x:c r="D43" s="42" t="str">
        <x:v>Create enterprise connectivity solutions to seamlessly incorporate FM capabilities into existing enterprise environments</x:v>
      </x:c>
      <x:c r="E43" s="63" t="n">
        <x:f>COUNTIF('Skill-Topic Map'!$A$5:$A$230,A43)</x:f>
        <x:v>4</x:v>
      </x:c>
      <x:c r="F43" s="63" t="str">
        <x:f>IF(E43&gt;0,"Covered","Missing")</x:f>
        <x:v>Covered</x:v>
      </x:c>
      <x:c r="G43" s="43" t="str">
        <x:v>https://docs.aws.amazon.com/aws-certification/latest/ai-professional-01/ai-professional-01-domain2.html</x:v>
      </x:c>
    </x:row>
    <x:row r="44" ht="38" customHeight="1">
      <x:c r="A44" s="57" t="str">
        <x:v>2.3.2</x:v>
      </x:c>
      <x:c r="B44" s="63" t="str">
        <x:v>2.3</x:v>
      </x:c>
      <x:c r="C44" s="42" t="str">
        <x:v>Design and implement enterprise integration architectures</x:v>
      </x:c>
      <x:c r="D44" s="42" t="str">
        <x:v>Develop integrated AI capabilities to enhance existing applications with GenAI functionality</x:v>
      </x:c>
      <x:c r="E44" s="63" t="n">
        <x:f>COUNTIF('Skill-Topic Map'!$A$5:$A$230,A44)</x:f>
        <x:v>3</x:v>
      </x:c>
      <x:c r="F44" s="63" t="str">
        <x:f>IF(E44&gt;0,"Covered","Missing")</x:f>
        <x:v>Covered</x:v>
      </x:c>
      <x:c r="G44" s="43" t="str">
        <x:v>https://docs.aws.amazon.com/aws-certification/latest/ai-professional-01/ai-professional-01-domain2.html</x:v>
      </x:c>
    </x:row>
    <x:row r="45" ht="38" customHeight="1">
      <x:c r="A45" s="57" t="str">
        <x:v>2.3.3</x:v>
      </x:c>
      <x:c r="B45" s="63" t="str">
        <x:v>2.3</x:v>
      </x:c>
      <x:c r="C45" s="42" t="str">
        <x:v>Design and implement enterprise integration architectures</x:v>
      </x:c>
      <x:c r="D45" s="42" t="str">
        <x:v>Create secure access frameworks to ensure appropriate security controls</x:v>
      </x:c>
      <x:c r="E45" s="63" t="n">
        <x:f>COUNTIF('Skill-Topic Map'!$A$5:$A$230,A45)</x:f>
        <x:v>4</x:v>
      </x:c>
      <x:c r="F45" s="63" t="str">
        <x:f>IF(E45&gt;0,"Covered","Missing")</x:f>
        <x:v>Covered</x:v>
      </x:c>
      <x:c r="G45" s="43" t="str">
        <x:v>https://docs.aws.amazon.com/aws-certification/latest/ai-professional-01/ai-professional-01-domain2.html</x:v>
      </x:c>
    </x:row>
    <x:row r="46" ht="38" customHeight="1">
      <x:c r="A46" s="57" t="str">
        <x:v>2.3.4</x:v>
      </x:c>
      <x:c r="B46" s="63" t="str">
        <x:v>2.3</x:v>
      </x:c>
      <x:c r="C46" s="42" t="str">
        <x:v>Design and implement enterprise integration architectures</x:v>
      </x:c>
      <x:c r="D46" s="42" t="str">
        <x:v>Develop cross-environment AI solutions to ensure data compliance across jurisdictions while enabling FM access</x:v>
      </x:c>
      <x:c r="E46" s="63" t="n">
        <x:f>COUNTIF('Skill-Topic Map'!$A$5:$A$230,A46)</x:f>
        <x:v>2</x:v>
      </x:c>
      <x:c r="F46" s="63" t="str">
        <x:f>IF(E46&gt;0,"Covered","Missing")</x:f>
        <x:v>Covered</x:v>
      </x:c>
      <x:c r="G46" s="43" t="str">
        <x:v>https://docs.aws.amazon.com/aws-certification/latest/ai-professional-01/ai-professional-01-domain2.html</x:v>
      </x:c>
    </x:row>
    <x:row r="47" ht="38" customHeight="1">
      <x:c r="A47" s="57" t="str">
        <x:v>2.3.5</x:v>
      </x:c>
      <x:c r="B47" s="63" t="str">
        <x:v>2.3</x:v>
      </x:c>
      <x:c r="C47" s="42" t="str">
        <x:v>Design and implement enterprise integration architectures</x:v>
      </x:c>
      <x:c r="D47" s="42" t="str">
        <x:v>Implement CI/CD pipelines and GenAI gateway architectures to implement secure and compliant consumption patterns in enterprise environments</x:v>
      </x:c>
      <x:c r="E47" s="63" t="n">
        <x:f>COUNTIF('Skill-Topic Map'!$A$5:$A$230,A47)</x:f>
        <x:v>6</x:v>
      </x:c>
      <x:c r="F47" s="63" t="str">
        <x:f>IF(E47&gt;0,"Covered","Missing")</x:f>
        <x:v>Covered</x:v>
      </x:c>
      <x:c r="G47" s="43" t="str">
        <x:v>https://docs.aws.amazon.com/aws-certification/latest/ai-professional-01/ai-professional-01-domain2.html</x:v>
      </x:c>
    </x:row>
    <x:row r="48" ht="38" customHeight="1">
      <x:c r="A48" s="57" t="str">
        <x:v>2.4.1</x:v>
      </x:c>
      <x:c r="B48" s="63" t="str">
        <x:v>2.4</x:v>
      </x:c>
      <x:c r="C48" s="42" t="str">
        <x:v>Implement FM API integrations</x:v>
      </x:c>
      <x:c r="D48" s="42" t="str">
        <x:v>Create flexible model interaction systems</x:v>
      </x:c>
      <x:c r="E48" s="63" t="n">
        <x:f>COUNTIF('Skill-Topic Map'!$A$5:$A$230,A48)</x:f>
        <x:v>4</x:v>
      </x:c>
      <x:c r="F48" s="63" t="str">
        <x:f>IF(E48&gt;0,"Covered","Missing")</x:f>
        <x:v>Covered</x:v>
      </x:c>
      <x:c r="G48" s="43" t="str">
        <x:v>https://docs.aws.amazon.com/aws-certification/latest/ai-professional-01/ai-professional-01-domain2.html</x:v>
      </x:c>
    </x:row>
    <x:row r="49" ht="38" customHeight="1">
      <x:c r="A49" s="57" t="str">
        <x:v>2.4.2</x:v>
      </x:c>
      <x:c r="B49" s="63" t="str">
        <x:v>2.4</x:v>
      </x:c>
      <x:c r="C49" s="42" t="str">
        <x:v>Implement FM API integrations</x:v>
      </x:c>
      <x:c r="D49" s="42" t="str">
        <x:v>Develop real-time AI interaction systems to provide immediate feedback from FM</x:v>
      </x:c>
      <x:c r="E49" s="63" t="n">
        <x:f>COUNTIF('Skill-Topic Map'!$A$5:$A$230,A49)</x:f>
        <x:v>1</x:v>
      </x:c>
      <x:c r="F49" s="63" t="str">
        <x:f>IF(E49&gt;0,"Covered","Missing")</x:f>
        <x:v>Covered</x:v>
      </x:c>
      <x:c r="G49" s="43" t="str">
        <x:v>https://docs.aws.amazon.com/aws-certification/latest/ai-professional-01/ai-professional-01-domain2.html</x:v>
      </x:c>
    </x:row>
    <x:row r="50" ht="38" customHeight="1">
      <x:c r="A50" s="57" t="str">
        <x:v>2.4.3</x:v>
      </x:c>
      <x:c r="B50" s="63" t="str">
        <x:v>2.4</x:v>
      </x:c>
      <x:c r="C50" s="42" t="str">
        <x:v>Implement FM API integrations</x:v>
      </x:c>
      <x:c r="D50" s="42" t="str">
        <x:v>Create resilient FM systems to ensure reliable operations</x:v>
      </x:c>
      <x:c r="E50" s="63" t="n">
        <x:f>COUNTIF('Skill-Topic Map'!$A$5:$A$230,A50)</x:f>
        <x:v>3</x:v>
      </x:c>
      <x:c r="F50" s="63" t="str">
        <x:f>IF(E50&gt;0,"Covered","Missing")</x:f>
        <x:v>Covered</x:v>
      </x:c>
      <x:c r="G50" s="43" t="str">
        <x:v>https://docs.aws.amazon.com/aws-certification/latest/ai-professional-01/ai-professional-01-domain2.html</x:v>
      </x:c>
    </x:row>
    <x:row r="51" ht="38" customHeight="1">
      <x:c r="A51" s="57" t="str">
        <x:v>2.4.4</x:v>
      </x:c>
      <x:c r="B51" s="63" t="str">
        <x:v>2.4</x:v>
      </x:c>
      <x:c r="C51" s="42" t="str">
        <x:v>Implement FM API integrations</x:v>
      </x:c>
      <x:c r="D51" s="42" t="str">
        <x:v>Develop intelligent model routing systems to optimize model selection</x:v>
      </x:c>
      <x:c r="E51" s="63" t="n">
        <x:f>COUNTIF('Skill-Topic Map'!$A$5:$A$230,A51)</x:f>
        <x:v>1</x:v>
      </x:c>
      <x:c r="F51" s="63" t="str">
        <x:f>IF(E51&gt;0,"Covered","Missing")</x:f>
        <x:v>Covered</x:v>
      </x:c>
      <x:c r="G51" s="43" t="str">
        <x:v>https://docs.aws.amazon.com/aws-certification/latest/ai-professional-01/ai-professional-01-domain2.html</x:v>
      </x:c>
    </x:row>
    <x:row r="52" ht="38" customHeight="1">
      <x:c r="A52" s="57" t="str">
        <x:v>2.5.1</x:v>
      </x:c>
      <x:c r="B52" s="63" t="str">
        <x:v>2.5</x:v>
      </x:c>
      <x:c r="C52" s="42" t="str">
        <x:v>Implement application integration patterns and development tools</x:v>
      </x:c>
      <x:c r="D52" s="42" t="str">
        <x:v>Create FM API interfaces to address the specific requirements of GenAI workloads</x:v>
      </x:c>
      <x:c r="E52" s="63" t="n">
        <x:f>COUNTIF('Skill-Topic Map'!$A$5:$A$230,A52)</x:f>
        <x:v>4</x:v>
      </x:c>
      <x:c r="F52" s="63" t="str">
        <x:f>IF(E52&gt;0,"Covered","Missing")</x:f>
        <x:v>Covered</x:v>
      </x:c>
      <x:c r="G52" s="43" t="str">
        <x:v>https://docs.aws.amazon.com/aws-certification/latest/ai-professional-01/ai-professional-01-domain2.html</x:v>
      </x:c>
    </x:row>
    <x:row r="53" ht="38" customHeight="1">
      <x:c r="A53" s="57" t="str">
        <x:v>2.5.2</x:v>
      </x:c>
      <x:c r="B53" s="63" t="str">
        <x:v>2.5</x:v>
      </x:c>
      <x:c r="C53" s="42" t="str">
        <x:v>Implement application integration patterns and development tools</x:v>
      </x:c>
      <x:c r="D53" s="42" t="str">
        <x:v>Develop accessible AI interfaces to accelerate adoption and integration of FMs</x:v>
      </x:c>
      <x:c r="E53" s="63" t="n">
        <x:f>COUNTIF('Skill-Topic Map'!$A$5:$A$230,A53)</x:f>
        <x:v>1</x:v>
      </x:c>
      <x:c r="F53" s="63" t="str">
        <x:f>IF(E53&gt;0,"Covered","Missing")</x:f>
        <x:v>Covered</x:v>
      </x:c>
      <x:c r="G53" s="43" t="str">
        <x:v>https://docs.aws.amazon.com/aws-certification/latest/ai-professional-01/ai-professional-01-domain2.html</x:v>
      </x:c>
    </x:row>
    <x:row r="54" ht="38" customHeight="1">
      <x:c r="A54" s="57" t="str">
        <x:v>2.5.3</x:v>
      </x:c>
      <x:c r="B54" s="63" t="str">
        <x:v>2.5</x:v>
      </x:c>
      <x:c r="C54" s="42" t="str">
        <x:v>Implement application integration patterns and development tools</x:v>
      </x:c>
      <x:c r="D54" s="42" t="str">
        <x:v>Create business system enhancements</x:v>
      </x:c>
      <x:c r="E54" s="63" t="n">
        <x:f>COUNTIF('Skill-Topic Map'!$A$5:$A$230,A54)</x:f>
        <x:v>1</x:v>
      </x:c>
      <x:c r="F54" s="63" t="str">
        <x:f>IF(E54&gt;0,"Covered","Missing")</x:f>
        <x:v>Covered</x:v>
      </x:c>
      <x:c r="G54" s="43" t="str">
        <x:v>https://docs.aws.amazon.com/aws-certification/latest/ai-professional-01/ai-professional-01-domain2.html</x:v>
      </x:c>
    </x:row>
    <x:row r="55" ht="38" customHeight="1">
      <x:c r="A55" s="57" t="str">
        <x:v>2.5.4</x:v>
      </x:c>
      <x:c r="B55" s="63" t="str">
        <x:v>2.5</x:v>
      </x:c>
      <x:c r="C55" s="42" t="str">
        <x:v>Implement application integration patterns and development tools</x:v>
      </x:c>
      <x:c r="D55" s="42" t="str">
        <x:v>Enhance developer productivity to accelerate development workflows for GenAI applications</x:v>
      </x:c>
      <x:c r="E55" s="63" t="n">
        <x:f>COUNTIF('Skill-Topic Map'!$A$5:$A$230,A55)</x:f>
        <x:v>1</x:v>
      </x:c>
      <x:c r="F55" s="63" t="str">
        <x:f>IF(E55&gt;0,"Covered","Missing")</x:f>
        <x:v>Covered</x:v>
      </x:c>
      <x:c r="G55" s="43" t="str">
        <x:v>https://docs.aws.amazon.com/aws-certification/latest/ai-professional-01/ai-professional-01-domain2.html</x:v>
      </x:c>
    </x:row>
    <x:row r="56" ht="38" customHeight="1">
      <x:c r="A56" s="57" t="str">
        <x:v>2.5.5</x:v>
      </x:c>
      <x:c r="B56" s="63" t="str">
        <x:v>2.5</x:v>
      </x:c>
      <x:c r="C56" s="42" t="str">
        <x:v>Implement application integration patterns and development tools</x:v>
      </x:c>
      <x:c r="D56" s="42" t="str">
        <x:v>Develop advanced GenAI applications to implement sophisticated AI capabilities</x:v>
      </x:c>
      <x:c r="E56" s="63" t="n">
        <x:f>COUNTIF('Skill-Topic Map'!$A$5:$A$230,A56)</x:f>
        <x:v>2</x:v>
      </x:c>
      <x:c r="F56" s="63" t="str">
        <x:f>IF(E56&gt;0,"Covered","Missing")</x:f>
        <x:v>Covered</x:v>
      </x:c>
      <x:c r="G56" s="43" t="str">
        <x:v>https://docs.aws.amazon.com/aws-certification/latest/ai-professional-01/ai-professional-01-domain2.html</x:v>
      </x:c>
    </x:row>
    <x:row r="57" ht="38" customHeight="1">
      <x:c r="A57" s="57" t="str">
        <x:v>2.5.6</x:v>
      </x:c>
      <x:c r="B57" s="63" t="str">
        <x:v>2.5</x:v>
      </x:c>
      <x:c r="C57" s="42" t="str">
        <x:v>Implement application integration patterns and development tools</x:v>
      </x:c>
      <x:c r="D57" s="42" t="str">
        <x:v>Improve troubleshooting efficiency for FM applications</x:v>
      </x:c>
      <x:c r="E57" s="63" t="n">
        <x:f>COUNTIF('Skill-Topic Map'!$A$5:$A$230,A57)</x:f>
        <x:v>4</x:v>
      </x:c>
      <x:c r="F57" s="63" t="str">
        <x:f>IF(E57&gt;0,"Covered","Missing")</x:f>
        <x:v>Covered</x:v>
      </x:c>
      <x:c r="G57" s="43" t="str">
        <x:v>https://docs.aws.amazon.com/aws-certification/latest/ai-professional-01/ai-professional-01-domain2.html</x:v>
      </x:c>
    </x:row>
    <x:row r="58" ht="38" customHeight="1">
      <x:c r="A58" s="57" t="str">
        <x:v>3.1.1</x:v>
      </x:c>
      <x:c r="B58" s="63" t="str">
        <x:v>3.1</x:v>
      </x:c>
      <x:c r="C58" s="42" t="str">
        <x:v>Implement input and output safety controls</x:v>
      </x:c>
      <x:c r="D58" s="42" t="str">
        <x:v>Develop comprehensive content safety systems to protect against harmful user inputs to FMs</x:v>
      </x:c>
      <x:c r="E58" s="63" t="n">
        <x:f>COUNTIF('Skill-Topic Map'!$A$5:$A$230,A58)</x:f>
        <x:v>1</x:v>
      </x:c>
      <x:c r="F58" s="63" t="str">
        <x:f>IF(E58&gt;0,"Covered","Missing")</x:f>
        <x:v>Covered</x:v>
      </x:c>
      <x:c r="G58" s="43" t="str">
        <x:v>https://docs.aws.amazon.com/aws-certification/latest/ai-professional-01/ai-professional-01-domain3.html</x:v>
      </x:c>
    </x:row>
    <x:row r="59" ht="38" customHeight="1">
      <x:c r="A59" s="57" t="str">
        <x:v>3.1.2</x:v>
      </x:c>
      <x:c r="B59" s="63" t="str">
        <x:v>3.1</x:v>
      </x:c>
      <x:c r="C59" s="42" t="str">
        <x:v>Implement input and output safety controls</x:v>
      </x:c>
      <x:c r="D59" s="42" t="str">
        <x:v>Create content safety frameworks to prevent harmful outputs</x:v>
      </x:c>
      <x:c r="E59" s="63" t="n">
        <x:f>COUNTIF('Skill-Topic Map'!$A$5:$A$230,A59)</x:f>
        <x:v>2</x:v>
      </x:c>
      <x:c r="F59" s="63" t="str">
        <x:f>IF(E59&gt;0,"Covered","Missing")</x:f>
        <x:v>Covered</x:v>
      </x:c>
      <x:c r="G59" s="43" t="str">
        <x:v>https://docs.aws.amazon.com/aws-certification/latest/ai-professional-01/ai-professional-01-domain3.html</x:v>
      </x:c>
    </x:row>
    <x:row r="60" ht="38" customHeight="1">
      <x:c r="A60" s="57" t="str">
        <x:v>3.1.3</x:v>
      </x:c>
      <x:c r="B60" s="63" t="str">
        <x:v>3.1</x:v>
      </x:c>
      <x:c r="C60" s="42" t="str">
        <x:v>Implement input and output safety controls</x:v>
      </x:c>
      <x:c r="D60" s="42" t="str">
        <x:v>Develop accuracy verification systems to reduce hallucinations in FM responses</x:v>
      </x:c>
      <x:c r="E60" s="63" t="n">
        <x:f>COUNTIF('Skill-Topic Map'!$A$5:$A$230,A60)</x:f>
        <x:v>2</x:v>
      </x:c>
      <x:c r="F60" s="63" t="str">
        <x:f>IF(E60&gt;0,"Covered","Missing")</x:f>
        <x:v>Covered</x:v>
      </x:c>
      <x:c r="G60" s="43" t="str">
        <x:v>https://docs.aws.amazon.com/aws-certification/latest/ai-professional-01/ai-professional-01-domain3.html</x:v>
      </x:c>
    </x:row>
    <x:row r="61" ht="38" customHeight="1">
      <x:c r="A61" s="57" t="str">
        <x:v>3.1.4</x:v>
      </x:c>
      <x:c r="B61" s="63" t="str">
        <x:v>3.1</x:v>
      </x:c>
      <x:c r="C61" s="42" t="str">
        <x:v>Implement input and output safety controls</x:v>
      </x:c>
      <x:c r="D61" s="42" t="str">
        <x:v>Create defense-in-depth safety systems to provide comprehensive protection against FM misuse</x:v>
      </x:c>
      <x:c r="E61" s="63" t="n">
        <x:f>COUNTIF('Skill-Topic Map'!$A$5:$A$230,A61)</x:f>
        <x:v>1</x:v>
      </x:c>
      <x:c r="F61" s="63" t="str">
        <x:f>IF(E61&gt;0,"Covered","Missing")</x:f>
        <x:v>Covered</x:v>
      </x:c>
      <x:c r="G61" s="43" t="str">
        <x:v>https://docs.aws.amazon.com/aws-certification/latest/ai-professional-01/ai-professional-01-domain3.html</x:v>
      </x:c>
    </x:row>
    <x:row r="62" ht="38" customHeight="1">
      <x:c r="A62" s="57" t="str">
        <x:v>3.1.5</x:v>
      </x:c>
      <x:c r="B62" s="63" t="str">
        <x:v>3.1</x:v>
      </x:c>
      <x:c r="C62" s="42" t="str">
        <x:v>Implement input and output safety controls</x:v>
      </x:c>
      <x:c r="D62" s="42" t="str">
        <x:v>Implement advanced threat detection to protect against adversarial inputs and security vulnerabilities</x:v>
      </x:c>
      <x:c r="E62" s="63" t="n">
        <x:f>COUNTIF('Skill-Topic Map'!$A$5:$A$230,A62)</x:f>
        <x:v>2</x:v>
      </x:c>
      <x:c r="F62" s="63" t="str">
        <x:f>IF(E62&gt;0,"Covered","Missing")</x:f>
        <x:v>Covered</x:v>
      </x:c>
      <x:c r="G62" s="43" t="str">
        <x:v>https://docs.aws.amazon.com/aws-certification/latest/ai-professional-01/ai-professional-01-domain3.html</x:v>
      </x:c>
    </x:row>
    <x:row r="63" ht="38" customHeight="1">
      <x:c r="A63" s="57" t="str">
        <x:v>3.2.1</x:v>
      </x:c>
      <x:c r="B63" s="63" t="str">
        <x:v>3.2</x:v>
      </x:c>
      <x:c r="C63" s="42" t="str">
        <x:v>Implement data security and privacy controls</x:v>
      </x:c>
      <x:c r="D63" s="42" t="str">
        <x:v>Develop protected AI environments to ensure comprehensive security for FM deployments</x:v>
      </x:c>
      <x:c r="E63" s="63" t="n">
        <x:f>COUNTIF('Skill-Topic Map'!$A$5:$A$230,A63)</x:f>
        <x:v>3</x:v>
      </x:c>
      <x:c r="F63" s="63" t="str">
        <x:f>IF(E63&gt;0,"Covered","Missing")</x:f>
        <x:v>Covered</x:v>
      </x:c>
      <x:c r="G63" s="43" t="str">
        <x:v>https://docs.aws.amazon.com/aws-certification/latest/ai-professional-01/ai-professional-01-domain3.html</x:v>
      </x:c>
    </x:row>
    <x:row r="64" ht="38" customHeight="1">
      <x:c r="A64" s="57" t="str">
        <x:v>3.2.2</x:v>
      </x:c>
      <x:c r="B64" s="63" t="str">
        <x:v>3.2</x:v>
      </x:c>
      <x:c r="C64" s="42" t="str">
        <x:v>Implement data security and privacy controls</x:v>
      </x:c>
      <x:c r="D64" s="42" t="str">
        <x:v>Develop privacy-preserving systems to protect sensitive information during FM interactions</x:v>
      </x:c>
      <x:c r="E64" s="63" t="n">
        <x:f>COUNTIF('Skill-Topic Map'!$A$5:$A$230,A64)</x:f>
        <x:v>3</x:v>
      </x:c>
      <x:c r="F64" s="63" t="str">
        <x:f>IF(E64&gt;0,"Covered","Missing")</x:f>
        <x:v>Covered</x:v>
      </x:c>
      <x:c r="G64" s="43" t="str">
        <x:v>https://docs.aws.amazon.com/aws-certification/latest/ai-professional-01/ai-professional-01-domain3.html</x:v>
      </x:c>
    </x:row>
    <x:row r="65" ht="38" customHeight="1">
      <x:c r="A65" s="57" t="str">
        <x:v>3.2.3</x:v>
      </x:c>
      <x:c r="B65" s="63" t="str">
        <x:v>3.2</x:v>
      </x:c>
      <x:c r="C65" s="42" t="str">
        <x:v>Implement data security and privacy controls</x:v>
      </x:c>
      <x:c r="D65" s="42" t="str">
        <x:v>Create privacy-focused AI systems to protect user privacy while maintaining FM utility and effectiveness</x:v>
      </x:c>
      <x:c r="E65" s="63" t="n">
        <x:f>COUNTIF('Skill-Topic Map'!$A$5:$A$230,A65)</x:f>
        <x:v>1</x:v>
      </x:c>
      <x:c r="F65" s="63" t="str">
        <x:f>IF(E65&gt;0,"Covered","Missing")</x:f>
        <x:v>Covered</x:v>
      </x:c>
      <x:c r="G65" s="43" t="str">
        <x:v>https://docs.aws.amazon.com/aws-certification/latest/ai-professional-01/ai-professional-01-domain3.html</x:v>
      </x:c>
    </x:row>
    <x:row r="66" ht="38" customHeight="1">
      <x:c r="A66" s="57" t="str">
        <x:v>3.3.1</x:v>
      </x:c>
      <x:c r="B66" s="63" t="str">
        <x:v>3.3</x:v>
      </x:c>
      <x:c r="C66" s="42" t="str">
        <x:v>Implement AI governance and compliance mechanisms</x:v>
      </x:c>
      <x:c r="D66" s="42" t="str">
        <x:v>Develop compliance frameworks to ensure regulatory compliance for FM deployments</x:v>
      </x:c>
      <x:c r="E66" s="63" t="n">
        <x:f>COUNTIF('Skill-Topic Map'!$A$5:$A$230,A66)</x:f>
        <x:v>3</x:v>
      </x:c>
      <x:c r="F66" s="63" t="str">
        <x:f>IF(E66&gt;0,"Covered","Missing")</x:f>
        <x:v>Covered</x:v>
      </x:c>
      <x:c r="G66" s="43" t="str">
        <x:v>https://docs.aws.amazon.com/aws-certification/latest/ai-professional-01/ai-professional-01-domain3.html</x:v>
      </x:c>
    </x:row>
    <x:row r="67" ht="38" customHeight="1">
      <x:c r="A67" s="57" t="str">
        <x:v>3.3.2</x:v>
      </x:c>
      <x:c r="B67" s="63" t="str">
        <x:v>3.3</x:v>
      </x:c>
      <x:c r="C67" s="42" t="str">
        <x:v>Implement AI governance and compliance mechanisms</x:v>
      </x:c>
      <x:c r="D67" s="42" t="str">
        <x:v>Implement data source tracking to maintain traceability in GenAI applications</x:v>
      </x:c>
      <x:c r="E67" s="63" t="n">
        <x:f>COUNTIF('Skill-Topic Map'!$A$5:$A$230,A67)</x:f>
        <x:v>2</x:v>
      </x:c>
      <x:c r="F67" s="63" t="str">
        <x:f>IF(E67&gt;0,"Covered","Missing")</x:f>
        <x:v>Covered</x:v>
      </x:c>
      <x:c r="G67" s="43" t="str">
        <x:v>https://docs.aws.amazon.com/aws-certification/latest/ai-professional-01/ai-professional-01-domain3.html</x:v>
      </x:c>
    </x:row>
    <x:row r="68" ht="38" customHeight="1">
      <x:c r="A68" s="57" t="str">
        <x:v>3.3.3</x:v>
      </x:c>
      <x:c r="B68" s="63" t="str">
        <x:v>3.3</x:v>
      </x:c>
      <x:c r="C68" s="42" t="str">
        <x:v>Implement AI governance and compliance mechanisms</x:v>
      </x:c>
      <x:c r="D68" s="42" t="str">
        <x:v>Create organizational governance systems to ensure consistent oversight of FM implementations</x:v>
      </x:c>
      <x:c r="E68" s="63" t="n">
        <x:f>COUNTIF('Skill-Topic Map'!$A$5:$A$230,A68)</x:f>
        <x:v>3</x:v>
      </x:c>
      <x:c r="F68" s="63" t="str">
        <x:f>IF(E68&gt;0,"Covered","Missing")</x:f>
        <x:v>Covered</x:v>
      </x:c>
      <x:c r="G68" s="43" t="str">
        <x:v>https://docs.aws.amazon.com/aws-certification/latest/ai-professional-01/ai-professional-01-domain3.html</x:v>
      </x:c>
    </x:row>
    <x:row r="69" ht="38" customHeight="1">
      <x:c r="A69" s="57" t="str">
        <x:v>3.3.4</x:v>
      </x:c>
      <x:c r="B69" s="63" t="str">
        <x:v>3.3</x:v>
      </x:c>
      <x:c r="C69" s="42" t="str">
        <x:v>Implement AI governance and compliance mechanisms</x:v>
      </x:c>
      <x:c r="D69" s="42" t="str">
        <x:v>Implement continuous monitoring and advanced governance controls to support safety audits and regulatory readiness</x:v>
      </x:c>
      <x:c r="E69" s="63" t="n">
        <x:f>COUNTIF('Skill-Topic Map'!$A$5:$A$230,A69)</x:f>
        <x:v>3</x:v>
      </x:c>
      <x:c r="F69" s="63" t="str">
        <x:f>IF(E69&gt;0,"Covered","Missing")</x:f>
        <x:v>Covered</x:v>
      </x:c>
      <x:c r="G69" s="43" t="str">
        <x:v>https://docs.aws.amazon.com/aws-certification/latest/ai-professional-01/ai-professional-01-domain3.html</x:v>
      </x:c>
    </x:row>
    <x:row r="70" ht="38" customHeight="1">
      <x:c r="A70" s="57" t="str">
        <x:v>3.4.1</x:v>
      </x:c>
      <x:c r="B70" s="63" t="str">
        <x:v>3.4</x:v>
      </x:c>
      <x:c r="C70" s="42" t="str">
        <x:v>Implement responsible AI principles</x:v>
      </x:c>
      <x:c r="D70" s="42" t="str">
        <x:v>Develop transparent AI systems in FM outputs</x:v>
      </x:c>
      <x:c r="E70" s="63" t="n">
        <x:f>COUNTIF('Skill-Topic Map'!$A$5:$A$230,A70)</x:f>
        <x:v>2</x:v>
      </x:c>
      <x:c r="F70" s="63" t="str">
        <x:f>IF(E70&gt;0,"Covered","Missing")</x:f>
        <x:v>Covered</x:v>
      </x:c>
      <x:c r="G70" s="43" t="str">
        <x:v>https://docs.aws.amazon.com/aws-certification/latest/ai-professional-01/ai-professional-01-domain3.html</x:v>
      </x:c>
    </x:row>
    <x:row r="71" ht="38" customHeight="1">
      <x:c r="A71" s="57" t="str">
        <x:v>3.4.2</x:v>
      </x:c>
      <x:c r="B71" s="63" t="str">
        <x:v>3.4</x:v>
      </x:c>
      <x:c r="C71" s="42" t="str">
        <x:v>Implement responsible AI principles</x:v>
      </x:c>
      <x:c r="D71" s="42" t="str">
        <x:v>Apply fairness evaluations to ensure unbiased FM outputs</x:v>
      </x:c>
      <x:c r="E71" s="63" t="n">
        <x:f>COUNTIF('Skill-Topic Map'!$A$5:$A$230,A71)</x:f>
        <x:v>1</x:v>
      </x:c>
      <x:c r="F71" s="63" t="str">
        <x:f>IF(E71&gt;0,"Covered","Missing")</x:f>
        <x:v>Covered</x:v>
      </x:c>
      <x:c r="G71" s="43" t="str">
        <x:v>https://docs.aws.amazon.com/aws-certification/latest/ai-professional-01/ai-professional-01-domain3.html</x:v>
      </x:c>
    </x:row>
    <x:row r="72" ht="38" customHeight="1">
      <x:c r="A72" s="57" t="str">
        <x:v>3.4.3</x:v>
      </x:c>
      <x:c r="B72" s="63" t="str">
        <x:v>3.4</x:v>
      </x:c>
      <x:c r="C72" s="42" t="str">
        <x:v>Implement responsible AI principles</x:v>
      </x:c>
      <x:c r="D72" s="42" t="str">
        <x:v>Develop policy-compliant AI systems to ensure adherence to responsible AI practices</x:v>
      </x:c>
      <x:c r="E72" s="63" t="n">
        <x:f>COUNTIF('Skill-Topic Map'!$A$5:$A$230,A72)</x:f>
        <x:v>4</x:v>
      </x:c>
      <x:c r="F72" s="63" t="str">
        <x:f>IF(E72&gt;0,"Covered","Missing")</x:f>
        <x:v>Covered</x:v>
      </x:c>
      <x:c r="G72" s="43" t="str">
        <x:v>https://docs.aws.amazon.com/aws-certification/latest/ai-professional-01/ai-professional-01-domain3.html</x:v>
      </x:c>
    </x:row>
    <x:row r="73" ht="38" customHeight="1">
      <x:c r="A73" s="57" t="str">
        <x:v>4.1.1</x:v>
      </x:c>
      <x:c r="B73" s="63" t="str">
        <x:v>4.1</x:v>
      </x:c>
      <x:c r="C73" s="42" t="str">
        <x:v>Implement cost optimization and resource efficiency strategies</x:v>
      </x:c>
      <x:c r="D73" s="42" t="str">
        <x:v>Develop token efficiency systems to reduce FM costs while maintaining effectiveness</x:v>
      </x:c>
      <x:c r="E73" s="63" t="n">
        <x:f>COUNTIF('Skill-Topic Map'!$A$5:$A$230,A73)</x:f>
        <x:v>3</x:v>
      </x:c>
      <x:c r="F73" s="63" t="str">
        <x:f>IF(E73&gt;0,"Covered","Missing")</x:f>
        <x:v>Covered</x:v>
      </x:c>
      <x:c r="G73" s="43" t="str">
        <x:v>https://docs.aws.amazon.com/aws-certification/latest/ai-professional-01/ai-professional-01-domain4.html</x:v>
      </x:c>
    </x:row>
    <x:row r="74" ht="38" customHeight="1">
      <x:c r="A74" s="57" t="str">
        <x:v>4.1.2</x:v>
      </x:c>
      <x:c r="B74" s="63" t="str">
        <x:v>4.1</x:v>
      </x:c>
      <x:c r="C74" s="42" t="str">
        <x:v>Implement cost optimization and resource efficiency strategies</x:v>
      </x:c>
      <x:c r="D74" s="42" t="str">
        <x:v>Create cost-effective model selection frameworks</x:v>
      </x:c>
      <x:c r="E74" s="63" t="n">
        <x:f>COUNTIF('Skill-Topic Map'!$A$5:$A$230,A74)</x:f>
        <x:v>3</x:v>
      </x:c>
      <x:c r="F74" s="63" t="str">
        <x:f>IF(E74&gt;0,"Covered","Missing")</x:f>
        <x:v>Covered</x:v>
      </x:c>
      <x:c r="G74" s="43" t="str">
        <x:v>https://docs.aws.amazon.com/aws-certification/latest/ai-professional-01/ai-professional-01-domain4.html</x:v>
      </x:c>
    </x:row>
    <x:row r="75" ht="38" customHeight="1">
      <x:c r="A75" s="57" t="str">
        <x:v>4.1.3</x:v>
      </x:c>
      <x:c r="B75" s="63" t="str">
        <x:v>4.1</x:v>
      </x:c>
      <x:c r="C75" s="42" t="str">
        <x:v>Implement cost optimization and resource efficiency strategies</x:v>
      </x:c>
      <x:c r="D75" s="42" t="str">
        <x:v>Develop high-performance FM systems to maximize resource utilization and throughput for GenAI workloads</x:v>
      </x:c>
      <x:c r="E75" s="63" t="n">
        <x:f>COUNTIF('Skill-Topic Map'!$A$5:$A$230,A75)</x:f>
        <x:v>3</x:v>
      </x:c>
      <x:c r="F75" s="63" t="str">
        <x:f>IF(E75&gt;0,"Covered","Missing")</x:f>
        <x:v>Covered</x:v>
      </x:c>
      <x:c r="G75" s="43" t="str">
        <x:v>https://docs.aws.amazon.com/aws-certification/latest/ai-professional-01/ai-professional-01-domain4.html</x:v>
      </x:c>
    </x:row>
    <x:row r="76" ht="38" customHeight="1">
      <x:c r="A76" s="57" t="str">
        <x:v>4.1.4</x:v>
      </x:c>
      <x:c r="B76" s="63" t="str">
        <x:v>4.1</x:v>
      </x:c>
      <x:c r="C76" s="42" t="str">
        <x:v>Implement cost optimization and resource efficiency strategies</x:v>
      </x:c>
      <x:c r="D76" s="42" t="str">
        <x:v>Create intelligent caching systems to reduce costs and improve response times by avoiding unnecessary FM invocations</x:v>
      </x:c>
      <x:c r="E76" s="63" t="n">
        <x:f>COUNTIF('Skill-Topic Map'!$A$5:$A$230,A76)</x:f>
        <x:v>1</x:v>
      </x:c>
      <x:c r="F76" s="63" t="str">
        <x:f>IF(E76&gt;0,"Covered","Missing")</x:f>
        <x:v>Covered</x:v>
      </x:c>
      <x:c r="G76" s="43" t="str">
        <x:v>https://docs.aws.amazon.com/aws-certification/latest/ai-professional-01/ai-professional-01-domain4.html</x:v>
      </x:c>
    </x:row>
    <x:row r="77" ht="38" customHeight="1">
      <x:c r="A77" s="57" t="str">
        <x:v>4.2.1</x:v>
      </x:c>
      <x:c r="B77" s="63" t="str">
        <x:v>4.2</x:v>
      </x:c>
      <x:c r="C77" s="42" t="str">
        <x:v>Optimize application performance</x:v>
      </x:c>
      <x:c r="D77" s="42" t="str">
        <x:v>Create responsive AI systems to address latency-cost tradeoffs and improve the user experience with FMs</x:v>
      </x:c>
      <x:c r="E77" s="63" t="n">
        <x:f>COUNTIF('Skill-Topic Map'!$A$5:$A$230,A77)</x:f>
        <x:v>3</x:v>
      </x:c>
      <x:c r="F77" s="63" t="str">
        <x:f>IF(E77&gt;0,"Covered","Missing")</x:f>
        <x:v>Covered</x:v>
      </x:c>
      <x:c r="G77" s="43" t="str">
        <x:v>https://docs.aws.amazon.com/aws-certification/latest/ai-professional-01/ai-professional-01-domain4.html</x:v>
      </x:c>
    </x:row>
    <x:row r="78" ht="38" customHeight="1">
      <x:c r="A78" s="57" t="str">
        <x:v>4.2.2</x:v>
      </x:c>
      <x:c r="B78" s="63" t="str">
        <x:v>4.2</x:v>
      </x:c>
      <x:c r="C78" s="42" t="str">
        <x:v>Optimize application performance</x:v>
      </x:c>
      <x:c r="D78" s="42" t="str">
        <x:v>Enhance retrieval performance to improve the relevance and speed of retrieved information for FM context augmentation</x:v>
      </x:c>
      <x:c r="E78" s="63" t="n">
        <x:f>COUNTIF('Skill-Topic Map'!$A$5:$A$230,A78)</x:f>
        <x:v>2</x:v>
      </x:c>
      <x:c r="F78" s="63" t="str">
        <x:f>IF(E78&gt;0,"Covered","Missing")</x:f>
        <x:v>Covered</x:v>
      </x:c>
      <x:c r="G78" s="43" t="str">
        <x:v>https://docs.aws.amazon.com/aws-certification/latest/ai-professional-01/ai-professional-01-domain4.html</x:v>
      </x:c>
    </x:row>
    <x:row r="79" ht="38" customHeight="1">
      <x:c r="A79" s="57" t="str">
        <x:v>4.2.3</x:v>
      </x:c>
      <x:c r="B79" s="63" t="str">
        <x:v>4.2</x:v>
      </x:c>
      <x:c r="C79" s="42" t="str">
        <x:v>Optimize application performance</x:v>
      </x:c>
      <x:c r="D79" s="42" t="str">
        <x:v>Implement FM throughput optimization to address the specific throughput challenges of GenAI workloads</x:v>
      </x:c>
      <x:c r="E79" s="63" t="n">
        <x:f>COUNTIF('Skill-Topic Map'!$A$5:$A$230,A79)</x:f>
        <x:v>3</x:v>
      </x:c>
      <x:c r="F79" s="63" t="str">
        <x:f>IF(E79&gt;0,"Covered","Missing")</x:f>
        <x:v>Covered</x:v>
      </x:c>
      <x:c r="G79" s="43" t="str">
        <x:v>https://docs.aws.amazon.com/aws-certification/latest/ai-professional-01/ai-professional-01-domain4.html</x:v>
      </x:c>
    </x:row>
    <x:row r="80" ht="38" customHeight="1">
      <x:c r="A80" s="57" t="str">
        <x:v>4.2.4</x:v>
      </x:c>
      <x:c r="B80" s="63" t="str">
        <x:v>4.2</x:v>
      </x:c>
      <x:c r="C80" s="42" t="str">
        <x:v>Optimize application performance</x:v>
      </x:c>
      <x:c r="D80" s="42" t="str">
        <x:v>Enhance FM performance to achieve optimal results for specific GenAI use cases</x:v>
      </x:c>
      <x:c r="E80" s="63" t="n">
        <x:f>COUNTIF('Skill-Topic Map'!$A$5:$A$230,A80)</x:f>
        <x:v>2</x:v>
      </x:c>
      <x:c r="F80" s="63" t="str">
        <x:f>IF(E80&gt;0,"Covered","Missing")</x:f>
        <x:v>Covered</x:v>
      </x:c>
      <x:c r="G80" s="43" t="str">
        <x:v>https://docs.aws.amazon.com/aws-certification/latest/ai-professional-01/ai-professional-01-domain4.html</x:v>
      </x:c>
    </x:row>
    <x:row r="81" ht="38" customHeight="1">
      <x:c r="A81" s="57" t="str">
        <x:v>4.2.5</x:v>
      </x:c>
      <x:c r="B81" s="63" t="str">
        <x:v>4.2</x:v>
      </x:c>
      <x:c r="C81" s="42" t="str">
        <x:v>Optimize application performance</x:v>
      </x:c>
      <x:c r="D81" s="42" t="str">
        <x:v>Create efficient resource allocation systems specifically for FM workloads</x:v>
      </x:c>
      <x:c r="E81" s="63" t="n">
        <x:f>COUNTIF('Skill-Topic Map'!$A$5:$A$230,A81)</x:f>
        <x:v>2</x:v>
      </x:c>
      <x:c r="F81" s="63" t="str">
        <x:f>IF(E81&gt;0,"Covered","Missing")</x:f>
        <x:v>Covered</x:v>
      </x:c>
      <x:c r="G81" s="43" t="str">
        <x:v>https://docs.aws.amazon.com/aws-certification/latest/ai-professional-01/ai-professional-01-domain4.html</x:v>
      </x:c>
    </x:row>
    <x:row r="82" ht="38" customHeight="1">
      <x:c r="A82" s="57" t="str">
        <x:v>4.2.6</x:v>
      </x:c>
      <x:c r="B82" s="63" t="str">
        <x:v>4.2</x:v>
      </x:c>
      <x:c r="C82" s="42" t="str">
        <x:v>Optimize application performance</x:v>
      </x:c>
      <x:c r="D82" s="42" t="str">
        <x:v>Optimize FM system performance for GenAI workflows</x:v>
      </x:c>
      <x:c r="E82" s="63" t="n">
        <x:f>COUNTIF('Skill-Topic Map'!$A$5:$A$230,A82)</x:f>
        <x:v>3</x:v>
      </x:c>
      <x:c r="F82" s="63" t="str">
        <x:f>IF(E82&gt;0,"Covered","Missing")</x:f>
        <x:v>Covered</x:v>
      </x:c>
      <x:c r="G82" s="43" t="str">
        <x:v>https://docs.aws.amazon.com/aws-certification/latest/ai-professional-01/ai-professional-01-domain4.html</x:v>
      </x:c>
    </x:row>
    <x:row r="83" ht="38" customHeight="1">
      <x:c r="A83" s="57" t="str">
        <x:v>4.3.1</x:v>
      </x:c>
      <x:c r="B83" s="63" t="str">
        <x:v>4.3</x:v>
      </x:c>
      <x:c r="C83" s="42" t="str">
        <x:v>Implement monitoring systems for GenAI applications</x:v>
      </x:c>
      <x:c r="D83" s="42" t="str">
        <x:v>Create holistic observability systems to provide complete visibility into FM application performance</x:v>
      </x:c>
      <x:c r="E83" s="63" t="n">
        <x:f>COUNTIF('Skill-Topic Map'!$A$5:$A$230,A83)</x:f>
        <x:v>3</x:v>
      </x:c>
      <x:c r="F83" s="63" t="str">
        <x:f>IF(E83&gt;0,"Covered","Missing")</x:f>
        <x:v>Covered</x:v>
      </x:c>
      <x:c r="G83" s="43" t="str">
        <x:v>https://docs.aws.amazon.com/aws-certification/latest/ai-professional-01/ai-professional-01-domain4.html</x:v>
      </x:c>
    </x:row>
    <x:row r="84" ht="38" customHeight="1">
      <x:c r="A84" s="57" t="str">
        <x:v>4.3.2</x:v>
      </x:c>
      <x:c r="B84" s="63" t="str">
        <x:v>4.3</x:v>
      </x:c>
      <x:c r="C84" s="42" t="str">
        <x:v>Implement monitoring systems for GenAI applications</x:v>
      </x:c>
      <x:c r="D84" s="42" t="str">
        <x:v>Implement comprehensive GenAI monitoring systems to proactively identify issues and evaluate key performance indicators specific to FM implementations</x:v>
      </x:c>
      <x:c r="E84" s="63" t="n">
        <x:f>COUNTIF('Skill-Topic Map'!$A$5:$A$230,A84)</x:f>
        <x:v>3</x:v>
      </x:c>
      <x:c r="F84" s="63" t="str">
        <x:f>IF(E84&gt;0,"Covered","Missing")</x:f>
        <x:v>Covered</x:v>
      </x:c>
      <x:c r="G84" s="43" t="str">
        <x:v>https://docs.aws.amazon.com/aws-certification/latest/ai-professional-01/ai-professional-01-domain4.html</x:v>
      </x:c>
    </x:row>
    <x:row r="85" ht="38" customHeight="1">
      <x:c r="A85" s="57" t="str">
        <x:v>4.3.3</x:v>
      </x:c>
      <x:c r="B85" s="63" t="str">
        <x:v>4.3</x:v>
      </x:c>
      <x:c r="C85" s="42" t="str">
        <x:v>Implement monitoring systems for GenAI applications</x:v>
      </x:c>
      <x:c r="D85" s="42" t="str">
        <x:v>Develop integrated observability solutions to provide actionable insights for FM applications</x:v>
      </x:c>
      <x:c r="E85" s="63" t="n">
        <x:f>COUNTIF('Skill-Topic Map'!$A$5:$A$230,A85)</x:f>
        <x:v>2</x:v>
      </x:c>
      <x:c r="F85" s="63" t="str">
        <x:f>IF(E85&gt;0,"Covered","Missing")</x:f>
        <x:v>Covered</x:v>
      </x:c>
      <x:c r="G85" s="43" t="str">
        <x:v>https://docs.aws.amazon.com/aws-certification/latest/ai-professional-01/ai-professional-01-domain4.html</x:v>
      </x:c>
    </x:row>
    <x:row r="86" ht="38" customHeight="1">
      <x:c r="A86" s="57" t="str">
        <x:v>4.3.4</x:v>
      </x:c>
      <x:c r="B86" s="63" t="str">
        <x:v>4.3</x:v>
      </x:c>
      <x:c r="C86" s="42" t="str">
        <x:v>Implement monitoring systems for GenAI applications</x:v>
      </x:c>
      <x:c r="D86" s="42" t="str">
        <x:v>Create tool performance frameworks to ensure optimal tool operation and utilization for FMs</x:v>
      </x:c>
      <x:c r="E86" s="63" t="n">
        <x:f>COUNTIF('Skill-Topic Map'!$A$5:$A$230,A86)</x:f>
        <x:v>4</x:v>
      </x:c>
      <x:c r="F86" s="63" t="str">
        <x:f>IF(E86&gt;0,"Covered","Missing")</x:f>
        <x:v>Covered</x:v>
      </x:c>
      <x:c r="G86" s="43" t="str">
        <x:v>https://docs.aws.amazon.com/aws-certification/latest/ai-professional-01/ai-professional-01-domain4.html</x:v>
      </x:c>
    </x:row>
    <x:row r="87" ht="38" customHeight="1">
      <x:c r="A87" s="57" t="str">
        <x:v>4.3.5</x:v>
      </x:c>
      <x:c r="B87" s="63" t="str">
        <x:v>4.3</x:v>
      </x:c>
      <x:c r="C87" s="42" t="str">
        <x:v>Implement monitoring systems for GenAI applications</x:v>
      </x:c>
      <x:c r="D87" s="42" t="str">
        <x:v>Create vector store operational management systems to ensure optimal vector store operation and reliability for FM augmentation</x:v>
      </x:c>
      <x:c r="E87" s="63" t="n">
        <x:f>COUNTIF('Skill-Topic Map'!$A$5:$A$230,A87)</x:f>
        <x:v>2</x:v>
      </x:c>
      <x:c r="F87" s="63" t="str">
        <x:f>IF(E87&gt;0,"Covered","Missing")</x:f>
        <x:v>Covered</x:v>
      </x:c>
      <x:c r="G87" s="43" t="str">
        <x:v>https://docs.aws.amazon.com/aws-certification/latest/ai-professional-01/ai-professional-01-domain4.html</x:v>
      </x:c>
    </x:row>
    <x:row r="88" ht="38" customHeight="1">
      <x:c r="A88" s="57" t="str">
        <x:v>4.3.6</x:v>
      </x:c>
      <x:c r="B88" s="63" t="str">
        <x:v>4.3</x:v>
      </x:c>
      <x:c r="C88" s="42" t="str">
        <x:v>Implement monitoring systems for GenAI applications</x:v>
      </x:c>
      <x:c r="D88" s="42" t="str">
        <x:v>Develop FM-specific troubleshooting frameworks to identify unique GenAI failure modes that are not present in traditional ML systems</x:v>
      </x:c>
      <x:c r="E88" s="63" t="n">
        <x:f>COUNTIF('Skill-Topic Map'!$A$5:$A$230,A88)</x:f>
        <x:v>4</x:v>
      </x:c>
      <x:c r="F88" s="63" t="str">
        <x:f>IF(E88&gt;0,"Covered","Missing")</x:f>
        <x:v>Covered</x:v>
      </x:c>
      <x:c r="G88" s="43" t="str">
        <x:v>https://docs.aws.amazon.com/aws-certification/latest/ai-professional-01/ai-professional-01-domain4.html</x:v>
      </x:c>
    </x:row>
    <x:row r="89" ht="38" customHeight="1">
      <x:c r="A89" s="57" t="str">
        <x:v>5.1.1</x:v>
      </x:c>
      <x:c r="B89" s="63" t="str">
        <x:v>5.1</x:v>
      </x:c>
      <x:c r="C89" s="42" t="str">
        <x:v>Implement evaluation systems for GenAI</x:v>
      </x:c>
      <x:c r="D89" s="42" t="str">
        <x:v>Develop comprehensive assessment frameworks to evaluate the quality and effectiveness of FM outputs beyond traditional ML evaluation approaches</x:v>
      </x:c>
      <x:c r="E89" s="63" t="n">
        <x:f>COUNTIF('Skill-Topic Map'!$A$5:$A$230,A89)</x:f>
        <x:v>2</x:v>
      </x:c>
      <x:c r="F89" s="63" t="str">
        <x:f>IF(E89&gt;0,"Covered","Missing")</x:f>
        <x:v>Covered</x:v>
      </x:c>
      <x:c r="G89" s="43" t="str">
        <x:v>https://docs.aws.amazon.com/aws-certification/latest/ai-professional-01/ai-professional-01-domain5.html</x:v>
      </x:c>
    </x:row>
    <x:row r="90" ht="38" customHeight="1">
      <x:c r="A90" s="57" t="str">
        <x:v>5.1.2</x:v>
      </x:c>
      <x:c r="B90" s="63" t="str">
        <x:v>5.1</x:v>
      </x:c>
      <x:c r="C90" s="42" t="str">
        <x:v>Implement evaluation systems for GenAI</x:v>
      </x:c>
      <x:c r="D90" s="42" t="str">
        <x:v>Create systematic model evaluation systems to identify optimal configurations</x:v>
      </x:c>
      <x:c r="E90" s="63" t="n">
        <x:f>COUNTIF('Skill-Topic Map'!$A$5:$A$230,A90)</x:f>
        <x:v>4</x:v>
      </x:c>
      <x:c r="F90" s="63" t="str">
        <x:f>IF(E90&gt;0,"Covered","Missing")</x:f>
        <x:v>Covered</x:v>
      </x:c>
      <x:c r="G90" s="43" t="str">
        <x:v>https://docs.aws.amazon.com/aws-certification/latest/ai-professional-01/ai-professional-01-domain5.html</x:v>
      </x:c>
    </x:row>
    <x:row r="91" ht="38" customHeight="1">
      <x:c r="A91" s="57" t="str">
        <x:v>5.1.3</x:v>
      </x:c>
      <x:c r="B91" s="63" t="str">
        <x:v>5.1</x:v>
      </x:c>
      <x:c r="C91" s="42" t="str">
        <x:v>Implement evaluation systems for GenAI</x:v>
      </x:c>
      <x:c r="D91" s="42" t="str">
        <x:v>Develop user-centered evaluation mechanisms to continuously improve FM performance based on user experience</x:v>
      </x:c>
      <x:c r="E91" s="63" t="n">
        <x:f>COUNTIF('Skill-Topic Map'!$A$5:$A$230,A91)</x:f>
        <x:v>1</x:v>
      </x:c>
      <x:c r="F91" s="63" t="str">
        <x:f>IF(E91&gt;0,"Covered","Missing")</x:f>
        <x:v>Covered</x:v>
      </x:c>
      <x:c r="G91" s="43" t="str">
        <x:v>https://docs.aws.amazon.com/aws-certification/latest/ai-professional-01/ai-professional-01-domain5.html</x:v>
      </x:c>
    </x:row>
    <x:row r="92" ht="38" customHeight="1">
      <x:c r="A92" s="57" t="str">
        <x:v>5.1.4</x:v>
      </x:c>
      <x:c r="B92" s="63" t="str">
        <x:v>5.1</x:v>
      </x:c>
      <x:c r="C92" s="42" t="str">
        <x:v>Implement evaluation systems for GenAI</x:v>
      </x:c>
      <x:c r="D92" s="42" t="str">
        <x:v>Create systematic quality assurance processes to maintain consistent performance standards for FMs</x:v>
      </x:c>
      <x:c r="E92" s="63" t="n">
        <x:f>COUNTIF('Skill-Topic Map'!$A$5:$A$230,A92)</x:f>
        <x:v>4</x:v>
      </x:c>
      <x:c r="F92" s="63" t="str">
        <x:f>IF(E92&gt;0,"Covered","Missing")</x:f>
        <x:v>Covered</x:v>
      </x:c>
      <x:c r="G92" s="43" t="str">
        <x:v>https://docs.aws.amazon.com/aws-certification/latest/ai-professional-01/ai-professional-01-domain5.html</x:v>
      </x:c>
    </x:row>
    <x:row r="93" ht="38" customHeight="1">
      <x:c r="A93" s="57" t="str">
        <x:v>5.1.5</x:v>
      </x:c>
      <x:c r="B93" s="63" t="str">
        <x:v>5.1</x:v>
      </x:c>
      <x:c r="C93" s="42" t="str">
        <x:v>Implement evaluation systems for GenAI</x:v>
      </x:c>
      <x:c r="D93" s="42" t="str">
        <x:v>Develop comprehensive assessment systems to ensure thorough evaluation from multiple perspectives for FM outputs</x:v>
      </x:c>
      <x:c r="E93" s="63" t="n">
        <x:f>COUNTIF('Skill-Topic Map'!$A$5:$A$230,A93)</x:f>
        <x:v>4</x:v>
      </x:c>
      <x:c r="F93" s="63" t="str">
        <x:f>IF(E93&gt;0,"Covered","Missing")</x:f>
        <x:v>Covered</x:v>
      </x:c>
      <x:c r="G93" s="43" t="str">
        <x:v>https://docs.aws.amazon.com/aws-certification/latest/ai-professional-01/ai-professional-01-domain5.html</x:v>
      </x:c>
    </x:row>
    <x:row r="94" ht="38" customHeight="1">
      <x:c r="A94" s="57" t="str">
        <x:v>5.1.6</x:v>
      </x:c>
      <x:c r="B94" s="63" t="str">
        <x:v>5.1</x:v>
      </x:c>
      <x:c r="C94" s="42" t="str">
        <x:v>Implement evaluation systems for GenAI</x:v>
      </x:c>
      <x:c r="D94" s="42" t="str">
        <x:v>Implement retrieval quality testing to evaluate and optimize information retrieval components for FM augmentation</x:v>
      </x:c>
      <x:c r="E94" s="63" t="n">
        <x:f>COUNTIF('Skill-Topic Map'!$A$5:$A$230,A94)</x:f>
        <x:v>2</x:v>
      </x:c>
      <x:c r="F94" s="63" t="str">
        <x:f>IF(E94&gt;0,"Covered","Missing")</x:f>
        <x:v>Covered</x:v>
      </x:c>
      <x:c r="G94" s="43" t="str">
        <x:v>https://docs.aws.amazon.com/aws-certification/latest/ai-professional-01/ai-professional-01-domain5.html</x:v>
      </x:c>
    </x:row>
    <x:row r="95" ht="38" customHeight="1">
      <x:c r="A95" s="57" t="str">
        <x:v>5.1.7</x:v>
      </x:c>
      <x:c r="B95" s="63" t="str">
        <x:v>5.1</x:v>
      </x:c>
      <x:c r="C95" s="42" t="str">
        <x:v>Implement evaluation systems for GenAI</x:v>
      </x:c>
      <x:c r="D95" s="42" t="str">
        <x:v>Develop agent performance frameworks to ensure that agents perform tasks correctly and efficiently</x:v>
      </x:c>
      <x:c r="E95" s="63" t="n">
        <x:f>COUNTIF('Skill-Topic Map'!$A$5:$A$230,A95)</x:f>
        <x:v>3</x:v>
      </x:c>
      <x:c r="F95" s="63" t="str">
        <x:f>IF(E95&gt;0,"Covered","Missing")</x:f>
        <x:v>Covered</x:v>
      </x:c>
      <x:c r="G95" s="43" t="str">
        <x:v>https://docs.aws.amazon.com/aws-certification/latest/ai-professional-01/ai-professional-01-domain5.html</x:v>
      </x:c>
    </x:row>
    <x:row r="96" ht="38" customHeight="1">
      <x:c r="A96" s="57" t="str">
        <x:v>5.1.8</x:v>
      </x:c>
      <x:c r="B96" s="63" t="str">
        <x:v>5.1</x:v>
      </x:c>
      <x:c r="C96" s="42" t="str">
        <x:v>Implement evaluation systems for GenAI</x:v>
      </x:c>
      <x:c r="D96" s="42" t="str">
        <x:v>Create comprehensive reporting systems to communicate performance metrics and insights effectively to stakeholders for FM implementations</x:v>
      </x:c>
      <x:c r="E96" s="63" t="n">
        <x:f>COUNTIF('Skill-Topic Map'!$A$5:$A$230,A96)</x:f>
        <x:v>1</x:v>
      </x:c>
      <x:c r="F96" s="63" t="str">
        <x:f>IF(E96&gt;0,"Covered","Missing")</x:f>
        <x:v>Covered</x:v>
      </x:c>
      <x:c r="G96" s="43" t="str">
        <x:v>https://docs.aws.amazon.com/aws-certification/latest/ai-professional-01/ai-professional-01-domain5.html</x:v>
      </x:c>
    </x:row>
    <x:row r="97" ht="38" customHeight="1">
      <x:c r="A97" s="57" t="str">
        <x:v>5.1.9</x:v>
      </x:c>
      <x:c r="B97" s="63" t="str">
        <x:v>5.1</x:v>
      </x:c>
      <x:c r="C97" s="42" t="str">
        <x:v>Implement evaluation systems for GenAI</x:v>
      </x:c>
      <x:c r="D97" s="42" t="str">
        <x:v>Create deployment validation systems to maintain reliability during FM updates</x:v>
      </x:c>
      <x:c r="E97" s="63" t="n">
        <x:f>COUNTIF('Skill-Topic Map'!$A$5:$A$230,A97)</x:f>
        <x:v>4</x:v>
      </x:c>
      <x:c r="F97" s="63" t="str">
        <x:f>IF(E97&gt;0,"Covered","Missing")</x:f>
        <x:v>Covered</x:v>
      </x:c>
      <x:c r="G97" s="43" t="str">
        <x:v>https://docs.aws.amazon.com/aws-certification/latest/ai-professional-01/ai-professional-01-domain5.html</x:v>
      </x:c>
    </x:row>
    <x:row r="98" ht="38" customHeight="1">
      <x:c r="A98" s="57" t="str">
        <x:v>5.2.1</x:v>
      </x:c>
      <x:c r="B98" s="63" t="str">
        <x:v>5.2</x:v>
      </x:c>
      <x:c r="C98" s="42" t="str">
        <x:v>Troubleshoot GenAI applications</x:v>
      </x:c>
      <x:c r="D98" s="42" t="str">
        <x:v>Resolve content handling issues to ensure that necessary information is processed completely in FM interactions</x:v>
      </x:c>
      <x:c r="E98" s="63" t="n">
        <x:f>COUNTIF('Skill-Topic Map'!$A$5:$A$230,A98)</x:f>
        <x:v>4</x:v>
      </x:c>
      <x:c r="F98" s="63" t="str">
        <x:f>IF(E98&gt;0,"Covered","Missing")</x:f>
        <x:v>Covered</x:v>
      </x:c>
      <x:c r="G98" s="43" t="str">
        <x:v>https://docs.aws.amazon.com/aws-certification/latest/ai-professional-01/ai-professional-01-domain5.html</x:v>
      </x:c>
    </x:row>
    <x:row r="99" ht="38" customHeight="1">
      <x:c r="A99" s="57" t="str">
        <x:v>5.2.2</x:v>
      </x:c>
      <x:c r="B99" s="63" t="str">
        <x:v>5.2</x:v>
      </x:c>
      <x:c r="C99" s="42" t="str">
        <x:v>Troubleshoot GenAI applications</x:v>
      </x:c>
      <x:c r="D99" s="42" t="str">
        <x:v>Diagnose and resolve FM integration issues to identify and fix API integration problems specific to GenAI services</x:v>
      </x:c>
      <x:c r="E99" s="63" t="n">
        <x:f>COUNTIF('Skill-Topic Map'!$A$5:$A$230,A99)</x:f>
        <x:v>2</x:v>
      </x:c>
      <x:c r="F99" s="63" t="str">
        <x:f>IF(E99&gt;0,"Covered","Missing")</x:f>
        <x:v>Covered</x:v>
      </x:c>
      <x:c r="G99" s="43" t="str">
        <x:v>https://docs.aws.amazon.com/aws-certification/latest/ai-professional-01/ai-professional-01-domain5.html</x:v>
      </x:c>
    </x:row>
    <x:row r="100" ht="38" customHeight="1">
      <x:c r="A100" s="57" t="str">
        <x:v>5.2.3</x:v>
      </x:c>
      <x:c r="B100" s="63" t="str">
        <x:v>5.2</x:v>
      </x:c>
      <x:c r="C100" s="42" t="str">
        <x:v>Troubleshoot GenAI applications</x:v>
      </x:c>
      <x:c r="D100" s="42" t="str">
        <x:v>Troubleshoot prompt engineering problems to improve FM response quality and consistency beyond basic prompt adjustments</x:v>
      </x:c>
      <x:c r="E100" s="63" t="n">
        <x:f>COUNTIF('Skill-Topic Map'!$A$5:$A$230,A100)</x:f>
        <x:v>2</x:v>
      </x:c>
      <x:c r="F100" s="63" t="str">
        <x:f>IF(E100&gt;0,"Covered","Missing")</x:f>
        <x:v>Covered</x:v>
      </x:c>
      <x:c r="G100" s="43" t="str">
        <x:v>https://docs.aws.amazon.com/aws-certification/latest/ai-professional-01/ai-professional-01-domain5.html</x:v>
      </x:c>
    </x:row>
    <x:row r="101" ht="38" customHeight="1">
      <x:c r="A101" s="57" t="str">
        <x:v>5.2.4</x:v>
      </x:c>
      <x:c r="B101" s="63" t="str">
        <x:v>5.2</x:v>
      </x:c>
      <x:c r="C101" s="42" t="str">
        <x:v>Troubleshoot GenAI applications</x:v>
      </x:c>
      <x:c r="D101" s="42" t="str">
        <x:v>Troubleshoot retrieval system issues to identify and resolve problems that affect information retrieval effectiveness for FM augmentation</x:v>
      </x:c>
      <x:c r="E101" s="63" t="n">
        <x:f>COUNTIF('Skill-Topic Map'!$A$5:$A$230,A101)</x:f>
        <x:v>3</x:v>
      </x:c>
      <x:c r="F101" s="63" t="str">
        <x:f>IF(E101&gt;0,"Covered","Missing")</x:f>
        <x:v>Covered</x:v>
      </x:c>
      <x:c r="G101" s="43" t="str">
        <x:v>https://docs.aws.amazon.com/aws-certification/latest/ai-professional-01/ai-professional-01-domain5.html</x:v>
      </x:c>
    </x:row>
    <x:row r="102" ht="38" customHeight="1">
      <x:c r="A102" s="58" t="str">
        <x:v>5.2.5</x:v>
      </x:c>
      <x:c r="B102" s="64" t="str">
        <x:v>5.2</x:v>
      </x:c>
      <x:c r="C102" s="45" t="str">
        <x:v>Troubleshoot GenAI applications</x:v>
      </x:c>
      <x:c r="D102" s="45" t="str">
        <x:v>Troubleshoot prompt maintenance issues to continuously improve the performance of FM interactions</x:v>
      </x:c>
      <x:c r="E102" s="64" t="n">
        <x:f>COUNTIF('Skill-Topic Map'!$A$5:$A$230,A102)</x:f>
        <x:v>2</x:v>
      </x:c>
      <x:c r="F102" s="64" t="str">
        <x:f>IF(E102&gt;0,"Covered","Missing")</x:f>
        <x:v>Covered</x:v>
      </x:c>
      <x:c r="G102" s="46" t="str">
        <x:v>https://docs.aws.amazon.com/aws-certification/latest/ai-professional-01/ai-professional-01-domain5.html</x:v>
      </x:c>
    </x:row>
  </x:sheetData>
  <x:mergeCells>
    <x:mergeCell ref="A1:F1"/>
    <x:mergeCell ref="A2:F2"/>
  </x:mergeCells>
  <x:conditionalFormatting sqref="F5:F102">
    <x:cfRule type="expression" dxfId="7" priority="1">
      <x:formula>F5="Covered"</x:formula>
    </x:cfRule>
    <x:cfRule type="expression" dxfId="8" priority="2">
      <x:formula>F5="Missing"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78277bdb3a4f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2" hidden="0" customWidth="1"/>
    <x:col min="4" max="4" width="3" hidden="0" customWidth="1"/>
    <x:col min="5" max="5" width="18" hidden="0" customWidth="1"/>
    <x:col min="6" max="6" width="12" hidden="0" customWidth="1"/>
    <x:col min="7" max="7" width="3" hidden="0" customWidth="1"/>
    <x:col min="8" max="8" width="27" hidden="0" customWidth="1"/>
    <x:col min="9" max="9" width="12" hidden="0" customWidth="1"/>
    <x:col min="10" max="10" width="3" hidden="0" customWidth="1"/>
    <x:col min="11" max="11" width="13" hidden="0" customWidth="1"/>
    <x:col min="12" max="12" width="44" hidden="0" customWidth="1"/>
    <x:col min="13" max="13" width="10" hidden="0" customWidth="1"/>
  </x:cols>
  <x:sheetData>
    <x:row r="1" ht="28" customHeight="1">
      <x:c r="A1" s="5" t="str">
        <x:v>AIP-C01 Curriculum Matrix —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2" t="str">
        <x:v>Use this sheet to confirm completeness and progression structure before detailed lesson creation.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4" customHeight="1">
      <x:c r="A4" s="311" t="str">
        <x:v>Total Topics</x:v>
      </x:c>
      <x:c r="B4" s="312"/>
      <x:c r="C4" s="311" t="str">
        <x:v>Official Skills Covered</x:v>
      </x:c>
      <x:c r="D4" s="312"/>
      <x:c r="E4" s="311" t="str">
        <x:v>Hard Gates</x:v>
      </x:c>
      <x:c r="F4" s="312"/>
      <x:c r="G4" s="311" t="str">
        <x:v>Soft Gates</x:v>
      </x:c>
      <x:c r="H4" s="312"/>
      <x:c r="I4" s="311" t="str">
        <x:v>Capstones</x:v>
      </x:c>
      <x:c r="J4" s="312"/>
      <x:c r="K4" s="311" t="str">
        <x:v>Coverage Gaps</x:v>
      </x:c>
      <x:c r="L4" s="312"/>
    </x:row>
    <x:row r="5">
      <x:c r="A5" s="85" t="n">
        <x:f>COUNTA('Curriculum Matrix'!$A$6:$A$138)</x:f>
        <x:v>133</x:v>
      </x:c>
      <x:c r="B5" s="86"/>
      <x:c r="C5" s="85" t="n">
        <x:f>COUNTIF('Skill Coverage'!$F$5:$F$102,"Covered")</x:f>
        <x:v>98</x:v>
      </x:c>
      <x:c r="D5" s="86"/>
      <x:c r="E5" s="85" t="n">
        <x:f>COUNTIF('Curriculum Matrix'!$L$6:$L$138,"Hard")</x:f>
        <x:v>97</x:v>
      </x:c>
      <x:c r="F5" s="86"/>
      <x:c r="G5" s="85" t="n">
        <x:f>COUNTIF('Curriculum Matrix'!$L$6:$L$138,"Soft")</x:f>
        <x:v>31</x:v>
      </x:c>
      <x:c r="H5" s="86"/>
      <x:c r="I5" s="85" t="n">
        <x:f>COUNTIF('Curriculum Matrix'!$L$6:$L$138,"Capstone")</x:f>
        <x:v>5</x:v>
      </x:c>
      <x:c r="J5" s="86"/>
      <x:c r="K5" s="85" t="n">
        <x:f>COUNTIF('Skill Coverage'!$F$5:$F$102,"Missing")</x:f>
        <x:v>0</x:v>
      </x:c>
      <x:c r="L5" s="86"/>
    </x:row>
    <x:row r="6">
      <x:c r="A6" s="87"/>
      <x:c r="B6" s="88"/>
      <x:c r="C6" s="87"/>
      <x:c r="D6" s="88"/>
      <x:c r="E6" s="87"/>
      <x:c r="F6" s="88"/>
      <x:c r="G6" s="87"/>
      <x:c r="H6" s="88"/>
      <x:c r="I6" s="87"/>
      <x:c r="J6" s="88"/>
      <x:c r="K6" s="87"/>
      <x:c r="L6" s="88"/>
    </x:row>
    <x:row r="7">
      <x:c r="A7" s="89"/>
      <x:c r="B7" s="90"/>
      <x:c r="C7" s="89"/>
      <x:c r="D7" s="90"/>
      <x:c r="E7" s="89"/>
      <x:c r="F7" s="90"/>
      <x:c r="G7" s="89"/>
      <x:c r="H7" s="90"/>
      <x:c r="I7" s="89"/>
      <x:c r="J7" s="90"/>
      <x:c r="K7" s="89"/>
      <x:c r="L7" s="90"/>
    </x:row>
    <x:row r="10">
      <x:c r="A10" s="28" t="str">
        <x:v>Phase</x:v>
      </x:c>
      <x:c r="B10" s="28" t="str">
        <x:v>Learning Layer</x:v>
      </x:c>
      <x:c r="C10" s="28" t="str">
        <x:v>Topic Count</x:v>
      </x:c>
      <x:c r="E10" s="28" t="str">
        <x:v>Mastery Gate</x:v>
      </x:c>
      <x:c r="F10" s="28" t="str">
        <x:v>Topic Count</x:v>
      </x:c>
      <x:c r="H10" s="28" t="str">
        <x:v>Minimum Proficiency</x:v>
      </x:c>
      <x:c r="I10" s="28" t="str">
        <x:v>Topic Count</x:v>
      </x:c>
      <x:c r="K10" s="28" t="str">
        <x:v>Official Domain</x:v>
      </x:c>
      <x:c r="L10" s="28" t="str">
        <x:v>Name</x:v>
      </x:c>
      <x:c r="M10" s="28" t="str">
        <x:v>Weight</x:v>
      </x:c>
    </x:row>
    <x:row r="11">
      <x:c r="A11" s="146" t="n">
        <x:v>0</x:v>
      </x:c>
      <x:c r="B11" s="129" t="str">
        <x:v>Layer 0 — GenAI and AWS foundations</x:v>
      </x:c>
      <x:c r="C11" s="130" t="n">
        <x:f>COUNTIF('Curriculum Matrix'!$C$6:$C$138,A11)</x:f>
        <x:v>10</x:v>
      </x:c>
      <x:c r="E11" s="110" t="str">
        <x:v>Hard</x:v>
      </x:c>
      <x:c r="F11" s="112" t="n">
        <x:f>COUNTIF('Curriculum Matrix'!$L$6:$L$138,E11)</x:f>
        <x:v>97</x:v>
      </x:c>
      <x:c r="H11" s="110" t="str">
        <x:v>Level 2 — Explain</x:v>
      </x:c>
      <x:c r="I11" s="112" t="n">
        <x:f>COUNTIF('Curriculum Matrix'!$K$6:$K$138,H11)</x:f>
        <x:v>5</x:v>
      </x:c>
      <x:c r="K11" s="128" t="str">
        <x:v>Domain 1</x:v>
      </x:c>
      <x:c r="L11" s="129" t="str">
        <x:v>Foundation Model Integration, Data Management, and Compliance</x:v>
      </x:c>
      <x:c r="M11" s="160" t="n">
        <x:v>0.31</x:v>
      </x:c>
    </x:row>
    <x:row r="12">
      <x:c r="A12" s="147" t="n">
        <x:v>1</x:v>
      </x:c>
      <x:c r="B12" s="132" t="str">
        <x:v>Layer 1 — Data and RAG foundations</x:v>
      </x:c>
      <x:c r="C12" s="133" t="n">
        <x:f>COUNTIF('Curriculum Matrix'!$C$6:$C$138,A12)</x:f>
        <x:v>16</x:v>
      </x:c>
      <x:c r="E12" s="113" t="str">
        <x:v>Soft</x:v>
      </x:c>
      <x:c r="F12" s="115" t="n">
        <x:f>COUNTIF('Curriculum Matrix'!$L$6:$L$138,E12)</x:f>
        <x:v>31</x:v>
      </x:c>
      <x:c r="H12" s="113" t="str">
        <x:v>Level 3 — Apply/Implement</x:v>
      </x:c>
      <x:c r="I12" s="115" t="n">
        <x:f>COUNTIF('Curriculum Matrix'!$K$6:$K$138,H12)</x:f>
        <x:v>74</x:v>
      </x:c>
      <x:c r="K12" s="131" t="str">
        <x:v>Domain 2</x:v>
      </x:c>
      <x:c r="L12" s="132" t="str">
        <x:v>Implementation and Integration</x:v>
      </x:c>
      <x:c r="M12" s="161" t="n">
        <x:v>0.26</x:v>
      </x:c>
    </x:row>
    <x:row r="13">
      <x:c r="A13" s="147" t="n">
        <x:v>2</x:v>
      </x:c>
      <x:c r="B13" s="132" t="str">
        <x:v>Layer 2 — Prompt systems and application interaction</x:v>
      </x:c>
      <x:c r="C13" s="133" t="n">
        <x:f>COUNTIF('Curriculum Matrix'!$C$6:$C$138,A13)</x:f>
        <x:v>12</x:v>
      </x:c>
      <x:c r="E13" s="116" t="str">
        <x:v>Capstone</x:v>
      </x:c>
      <x:c r="F13" s="118" t="n">
        <x:f>COUNTIF('Curriculum Matrix'!$L$6:$L$138,E13)</x:f>
        <x:v>5</x:v>
      </x:c>
      <x:c r="H13" s="113" t="str">
        <x:v>Level 4 — Select/Diagnose</x:v>
      </x:c>
      <x:c r="I13" s="115" t="n">
        <x:f>COUNTIF('Curriculum Matrix'!$K$6:$K$138,H13)</x:f>
        <x:v>46</x:v>
      </x:c>
      <x:c r="K13" s="131" t="str">
        <x:v>Domain 3</x:v>
      </x:c>
      <x:c r="L13" s="132" t="str">
        <x:v>AI Safety, Security, and Governance</x:v>
      </x:c>
      <x:c r="M13" s="161" t="n">
        <x:v>0.2</x:v>
      </x:c>
    </x:row>
    <x:row r="14">
      <x:c r="A14" s="147" t="n">
        <x:v>3</x:v>
      </x:c>
      <x:c r="B14" s="132" t="str">
        <x:v>Layer 3 — Models, routing, and deployment</x:v>
      </x:c>
      <x:c r="C14" s="133" t="n">
        <x:f>COUNTIF('Curriculum Matrix'!$C$6:$C$138,A14)</x:f>
        <x:v>10</x:v>
      </x:c>
      <x:c r="H14" s="116" t="str">
        <x:v>Level 5 — Design/Defend</x:v>
      </x:c>
      <x:c r="I14" s="118" t="n">
        <x:f>COUNTIF('Curriculum Matrix'!$K$6:$K$138,H14)</x:f>
        <x:v>8</x:v>
      </x:c>
      <x:c r="K14" s="131" t="str">
        <x:v>Domain 4</x:v>
      </x:c>
      <x:c r="L14" s="132" t="str">
        <x:v>Operational Efficiency and Optimization for GenAI Applications</x:v>
      </x:c>
      <x:c r="M14" s="161" t="n">
        <x:v>0.12</x:v>
      </x:c>
    </x:row>
    <x:row r="15">
      <x:c r="A15" s="147" t="n">
        <x:v>4</x:v>
      </x:c>
      <x:c r="B15" s="132" t="str">
        <x:v>Layer 4 — Application and enterprise integration</x:v>
      </x:c>
      <x:c r="C15" s="133" t="n">
        <x:f>COUNTIF('Curriculum Matrix'!$C$6:$C$138,A15)</x:f>
        <x:v>12</x:v>
      </x:c>
      <x:c r="K15" s="134" t="str">
        <x:v>Domain 5</x:v>
      </x:c>
      <x:c r="L15" s="135" t="str">
        <x:v>Testing, Validation, and Troubleshooting</x:v>
      </x:c>
      <x:c r="M15" s="162" t="n">
        <x:v>0.11</x:v>
      </x:c>
    </x:row>
    <x:row r="16">
      <x:c r="A16" s="147" t="n">
        <x:v>5</x:v>
      </x:c>
      <x:c r="B16" s="132" t="str">
        <x:v>Layer 5 — Tools and agentic AI</x:v>
      </x:c>
      <x:c r="C16" s="133" t="n">
        <x:f>COUNTIF('Curriculum Matrix'!$C$6:$C$138,A16)</x:f>
        <x:v>13</x:v>
      </x:c>
      <x:c r="E16" s="195" t="str">
        <x:v>Governing rule
Dependency determines sequence. Knowledge type determines pedagogy. Required capability determines assessment. Exam importance determines emphasis.</x:v>
      </x:c>
      <x:c r="F16" s="196"/>
      <x:c r="G16" s="196"/>
      <x:c r="H16" s="196"/>
      <x:c r="I16" s="196"/>
      <x:c r="J16" s="196"/>
      <x:c r="K16" s="196"/>
      <x:c r="L16" s="196"/>
      <x:c r="M16" s="197"/>
    </x:row>
    <x:row r="17">
      <x:c r="A17" s="147" t="n">
        <x:v>6</x:v>
      </x:c>
      <x:c r="B17" s="132" t="str">
        <x:v>Layer 6 — Safety, security, and privacy</x:v>
      </x:c>
      <x:c r="C17" s="133" t="n">
        <x:f>COUNTIF('Curriculum Matrix'!$C$6:$C$138,A17)</x:f>
        <x:v>12</x:v>
      </x:c>
      <x:c r="E17" s="198"/>
      <x:c r="F17" s="199"/>
      <x:c r="G17" s="199"/>
      <x:c r="H17" s="199"/>
      <x:c r="I17" s="199"/>
      <x:c r="J17" s="199"/>
      <x:c r="K17" s="199"/>
      <x:c r="L17" s="199"/>
      <x:c r="M17" s="200"/>
    </x:row>
    <x:row r="18">
      <x:c r="A18" s="147" t="n">
        <x:v>7</x:v>
      </x:c>
      <x:c r="B18" s="132" t="str">
        <x:v>Layer 7 — Governance and responsible AI</x:v>
      </x:c>
      <x:c r="C18" s="133" t="n">
        <x:f>COUNTIF('Curriculum Matrix'!$C$6:$C$138,A18)</x:f>
        <x:v>10</x:v>
      </x:c>
      <x:c r="E18" s="198"/>
      <x:c r="F18" s="199"/>
      <x:c r="G18" s="199"/>
      <x:c r="H18" s="199"/>
      <x:c r="I18" s="199"/>
      <x:c r="J18" s="199"/>
      <x:c r="K18" s="199"/>
      <x:c r="L18" s="199"/>
      <x:c r="M18" s="200"/>
    </x:row>
    <x:row r="19">
      <x:c r="A19" s="147" t="n">
        <x:v>8</x:v>
      </x:c>
      <x:c r="B19" s="132" t="str">
        <x:v>Layer 8 — Cost, performance, and operations</x:v>
      </x:c>
      <x:c r="C19" s="133" t="n">
        <x:f>COUNTIF('Curriculum Matrix'!$C$6:$C$138,A19)</x:f>
        <x:v>11</x:v>
      </x:c>
      <x:c r="E19" s="201"/>
      <x:c r="F19" s="202"/>
      <x:c r="G19" s="202"/>
      <x:c r="H19" s="202"/>
      <x:c r="I19" s="202"/>
      <x:c r="J19" s="202"/>
      <x:c r="K19" s="202"/>
      <x:c r="L19" s="202"/>
      <x:c r="M19" s="203"/>
    </x:row>
    <x:row r="20">
      <x:c r="A20" s="147" t="n">
        <x:v>9</x:v>
      </x:c>
      <x:c r="B20" s="132" t="str">
        <x:v>Layer 9 — Monitoring, evaluation, and troubleshooting</x:v>
      </x:c>
      <x:c r="C20" s="133" t="n">
        <x:f>COUNTIF('Curriculum Matrix'!$C$6:$C$138,A20)</x:f>
        <x:v>22</x:v>
      </x:c>
    </x:row>
    <x:row r="21">
      <x:c r="A21" s="148" t="n">
        <x:v>10</x:v>
      </x:c>
      <x:c r="B21" s="135" t="str">
        <x:v>Final integration</x:v>
      </x:c>
      <x:c r="C21" s="136" t="n">
        <x:f>COUNTIF('Curriculum Matrix'!$C$6:$C$138,A21)</x:f>
        <x:v>5</x:v>
      </x:c>
    </x:row>
  </x:sheetData>
  <x:mergeCells>
    <x:mergeCell ref="A1:M1"/>
    <x:mergeCell ref="A2:M2"/>
    <x:mergeCell ref="A4:B4"/>
    <x:mergeCell ref="A5:B7"/>
    <x:mergeCell ref="C4:D4"/>
    <x:mergeCell ref="C5:D7"/>
    <x:mergeCell ref="E4:F4"/>
    <x:mergeCell ref="E5:F7"/>
    <x:mergeCell ref="G4:H4"/>
    <x:mergeCell ref="G5:H7"/>
    <x:mergeCell ref="I4:J4"/>
    <x:mergeCell ref="I5:J7"/>
    <x:mergeCell ref="K4:L4"/>
    <x:mergeCell ref="K5:L7"/>
    <x:mergeCell ref="E16:M19"/>
  </x:mergeCells>
  <x:pageMargins left="0.7" right="0.7" top="0.75" bottom="0.75" header="0.3" footer="0.3"/>
  <x:drawing xmlns:r="http://schemas.openxmlformats.org/officeDocument/2006/relationships" r:id="R69a35caf144247c9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45" hidden="0" customWidth="1"/>
    <x:col min="4" max="4" width="45" hidden="0" customWidth="1"/>
  </x:cols>
  <x:sheetData>
    <x:row r="1" ht="28" customHeight="1">
      <x:c r="A1" s="5" t="str">
        <x:v>How to Read and Use the Matrix</x:v>
      </x:c>
      <x:c r="B1" s="5"/>
      <x:c r="C1" s="5"/>
      <x:c r="D1" s="5"/>
    </x:row>
    <x:row r="2">
      <x:c r="A2" s="242" t="str">
        <x:v>The topic order is derived from prerequisites and dependencies. Knowledge Type and Teaching Method are applied only after the order is fixed. A layer exit assessment should verify all hard gates and schedule soft-gate remediation.</x:v>
      </x:c>
      <x:c r="B2" s="242"/>
      <x:c r="C2" s="242"/>
      <x:c r="D2" s="242"/>
    </x:row>
    <x:row r="3">
      <x:c r="A3" s="242"/>
      <x:c r="B3" s="242"/>
      <x:c r="C3" s="242"/>
      <x:c r="D3" s="242"/>
    </x:row>
    <x:row r="5">
      <x:c r="A5" s="28" t="str">
        <x:v>Category</x:v>
      </x:c>
      <x:c r="B5" s="28" t="str">
        <x:v>Value</x:v>
      </x:c>
      <x:c r="C5" s="28" t="str">
        <x:v>Meaning</x:v>
      </x:c>
      <x:c r="D5" s="28" t="str">
        <x:v>Practical Use</x:v>
      </x:c>
    </x:row>
    <x:row r="6" ht="38" customHeight="1">
      <x:c r="A6" s="38" t="str">
        <x:v>Dependency</x:v>
      </x:c>
      <x:c r="B6" s="39" t="str">
        <x:v>Hard prerequisite</x:v>
      </x:c>
      <x:c r="C6" s="39" t="str">
        <x:v>Required before the topic can be learned effectively</x:v>
      </x:c>
      <x:c r="D6" s="40" t="str">
        <x:v>Do not begin the topic until demonstrated</x:v>
      </x:c>
    </x:row>
    <x:row r="7" ht="38" customHeight="1">
      <x:c r="A7" s="41" t="str">
        <x:v>Dependency</x:v>
      </x:c>
      <x:c r="B7" s="42" t="str">
        <x:v>Soft prerequisite</x:v>
      </x:c>
      <x:c r="C7" s="42" t="str">
        <x:v>Improves readiness but can be remediated later</x:v>
      </x:c>
      <x:c r="D7" s="43" t="str">
        <x:v>Proceed only with a scheduled bridge/remediation</x:v>
      </x:c>
    </x:row>
    <x:row r="8" ht="38" customHeight="1">
      <x:c r="A8" s="41" t="str">
        <x:v>Dependency</x:v>
      </x:c>
      <x:c r="B8" s="42" t="str">
        <x:v>Mixed</x:v>
      </x:c>
      <x:c r="C8" s="42" t="str">
        <x:v>Contains both hard and soft prerequisites</x:v>
      </x:c>
      <x:c r="D8" s="43" t="str">
        <x:v>Satisfy hard prerequisites; track soft gaps</x:v>
      </x:c>
    </x:row>
    <x:row r="9" ht="38" customHeight="1">
      <x:c r="A9" s="41" t="str">
        <x:v>Proficiency</x:v>
      </x:c>
      <x:c r="B9" s="42" t="str">
        <x:v>Level 2 — Explain</x:v>
      </x:c>
      <x:c r="C9" s="42" t="str">
        <x:v>Reconstruct and explain the concept</x:v>
      </x:c>
      <x:c r="D9" s="43" t="str">
        <x:v>Conceptual foundation</x:v>
      </x:c>
    </x:row>
    <x:row r="10" ht="38" customHeight="1">
      <x:c r="A10" s="41" t="str">
        <x:v>Proficiency</x:v>
      </x:c>
      <x:c r="B10" s="42" t="str">
        <x:v>Level 3 — Apply/Implement</x:v>
      </x:c>
      <x:c r="C10" s="42" t="str">
        <x:v>Perform a standard task independently</x:v>
      </x:c>
      <x:c r="D10" s="43" t="str">
        <x:v>Hands-on competence</x:v>
      </x:c>
    </x:row>
    <x:row r="11" ht="38" customHeight="1">
      <x:c r="A11" s="41" t="str">
        <x:v>Proficiency</x:v>
      </x:c>
      <x:c r="B11" s="42" t="str">
        <x:v>Level 4 — Select/Diagnose</x:v>
      </x:c>
      <x:c r="C11" s="42" t="str">
        <x:v>Choose among alternatives or diagnose failures</x:v>
      </x:c>
      <x:c r="D11" s="43" t="str">
        <x:v>Professional scenario judgment</x:v>
      </x:c>
    </x:row>
    <x:row r="12" ht="38" customHeight="1">
      <x:c r="A12" s="41" t="str">
        <x:v>Proficiency</x:v>
      </x:c>
      <x:c r="B12" s="42" t="str">
        <x:v>Level 5 — Design/Defend</x:v>
      </x:c>
      <x:c r="C12" s="42" t="str">
        <x:v>Design under constraints and defend trade-offs</x:v>
      </x:c>
      <x:c r="D12" s="43" t="str">
        <x:v>Architecture and governance mastery</x:v>
      </x:c>
    </x:row>
    <x:row r="13" ht="38" customHeight="1">
      <x:c r="A13" s="41" t="str">
        <x:v>Mastery gate</x:v>
      </x:c>
      <x:c r="B13" s="42" t="str">
        <x:v>Hard</x:v>
      </x:c>
      <x:c r="C13" s="42" t="str">
        <x:v>Failure blocks progression</x:v>
      </x:c>
      <x:c r="D13" s="43" t="str">
        <x:v>Targeted remediation and reassessment required</x:v>
      </x:c>
    </x:row>
    <x:row r="14" ht="38" customHeight="1">
      <x:c r="A14" s="41" t="str">
        <x:v>Mastery gate</x:v>
      </x:c>
      <x:c r="B14" s="42" t="str">
        <x:v>Soft</x:v>
      </x:c>
      <x:c r="C14" s="42" t="str">
        <x:v>Failure does not immediately block progression</x:v>
      </x:c>
      <x:c r="D14" s="43" t="str">
        <x:v>Must be remediated before dependent topic or final readiness</x:v>
      </x:c>
    </x:row>
    <x:row r="15" ht="38" customHeight="1">
      <x:c r="A15" s="41" t="str">
        <x:v>Mastery gate</x:v>
      </x:c>
      <x:c r="B15" s="42" t="str">
        <x:v>Capstone</x:v>
      </x:c>
      <x:c r="C15" s="42" t="str">
        <x:v>Integrates multiple prior layers</x:v>
      </x:c>
      <x:c r="D15" s="43" t="str">
        <x:v>Used for final synthesis and readiness</x:v>
      </x:c>
    </x:row>
    <x:row r="16" ht="38" customHeight="1">
      <x:c r="A16" s="41" t="str">
        <x:v>Syllabus relationship</x:v>
      </x:c>
      <x:c r="B16" s="42" t="str">
        <x:v>Foundational / cross-cutting</x:v>
      </x:c>
      <x:c r="C16" s="42" t="str">
        <x:v>Required foundation not organized as a standalone official skill</x:v>
      </x:c>
      <x:c r="D16" s="43" t="str">
        <x:v>Teach before dependent official topics</x:v>
      </x:c>
    </x:row>
    <x:row r="17" ht="38" customHeight="1">
      <x:c r="A17" s="41" t="str">
        <x:v>Syllabus relationship</x:v>
      </x:c>
      <x:c r="B17" s="42" t="str">
        <x:v>Official skill-derived</x:v>
      </x:c>
      <x:c r="C17" s="42" t="str">
        <x:v>Directly derived from one or more official AIP-C01 skills</x:v>
      </x:c>
      <x:c r="D17" s="43" t="str">
        <x:v>Maintain skill-ID traceability</x:v>
      </x:c>
    </x:row>
    <x:row r="18" ht="38" customHeight="1">
      <x:c r="A18" s="44" t="str">
        <x:v>Syllabus relationship</x:v>
      </x:c>
      <x:c r="B18" s="45" t="str">
        <x:v>Cross-domain synthesis</x:v>
      </x:c>
      <x:c r="C18" s="45" t="str">
        <x:v>Combines multiple official domains</x:v>
      </x:c>
      <x:c r="D18" s="46" t="str">
        <x:v>Use after the underlying skills are mastered</x:v>
      </x:c>
    </x:row>
    <x:row r="21">
      <x:c r="A21" s="28" t="str">
        <x:v>Knowledge-Type Use</x:v>
      </x:c>
      <x:c r="B21" s="28" t="str">
        <x:v>Primary Teaching Pattern</x:v>
      </x:c>
      <x:c r="C21" s="28" t="str">
        <x:v>Assessment Pattern</x:v>
      </x:c>
      <x:c r="D21" s="28" t="str">
        <x:v>Examples</x:v>
      </x:c>
    </x:row>
    <x:row r="22" ht="40" customHeight="1">
      <x:c r="A22" s="128" t="str">
        <x:v>Declarative</x:v>
      </x:c>
      <x:c r="B22" s="129" t="str">
        <x:v>Retrieval practice and spaced review</x:v>
      </x:c>
      <x:c r="C22" s="129" t="str">
        <x:v>Recall without notes</x:v>
      </x:c>
      <x:c r="D22" s="130" t="str">
        <x:v>Service capabilities, terminology</x:v>
      </x:c>
    </x:row>
    <x:row r="23" ht="40" customHeight="1">
      <x:c r="A23" s="131" t="str">
        <x:v>Conceptual</x:v>
      </x:c>
      <x:c r="B23" s="132" t="str">
        <x:v>Diagrams, comparison, self-explanation</x:v>
      </x:c>
      <x:c r="C23" s="132" t="str">
        <x:v>Reconstruct and explain relationships</x:v>
      </x:c>
      <x:c r="D23" s="133" t="str">
        <x:v>RAG flow, trust boundaries</x:v>
      </x:c>
    </x:row>
    <x:row r="24" ht="40" customHeight="1">
      <x:c r="A24" s="131" t="str">
        <x:v>Procedural / Embedded</x:v>
      </x:c>
      <x:c r="B24" s="132" t="str">
        <x:v>Independent AWS lab</x:v>
      </x:c>
      <x:c r="C24" s="132" t="str">
        <x:v>Complete task and explain configuration</x:v>
      </x:c>
      <x:c r="D24" s="133" t="str">
        <x:v>APIs, deployment, monitoring</x:v>
      </x:c>
    </x:row>
    <x:row r="25" ht="40" customHeight="1">
      <x:c r="A25" s="131" t="str">
        <x:v>Conditional / Strategic</x:v>
      </x:c>
      <x:c r="B25" s="132" t="str">
        <x:v>Contrasting scenarios and design reviews</x:v>
      </x:c>
      <x:c r="C25" s="132" t="str">
        <x:v>Select and reject alternatives</x:v>
      </x:c>
      <x:c r="D25" s="133" t="str">
        <x:v>Model choice, architecture trade-offs</x:v>
      </x:c>
    </x:row>
    <x:row r="26" ht="40" customHeight="1">
      <x:c r="A26" s="131" t="str">
        <x:v>Causal / Diagnostic</x:v>
      </x:c>
      <x:c r="B26" s="132" t="str">
        <x:v>Controlled experiments and failure injection</x:v>
      </x:c>
      <x:c r="C26" s="132" t="str">
        <x:v>Find root cause and correct it</x:v>
      </x:c>
      <x:c r="D26" s="133" t="str">
        <x:v>RAG, prompt, API failures</x:v>
      </x:c>
    </x:row>
    <x:row r="27" ht="40" customHeight="1">
      <x:c r="A27" s="134" t="str">
        <x:v>Normative / Institutional</x:v>
      </x:c>
      <x:c r="B27" s="135" t="str">
        <x:v>Policy, risk, role, and evidence mapping</x:v>
      </x:c>
      <x:c r="C27" s="135" t="str">
        <x:v>Justify controls and accountability</x:v>
      </x:c>
      <x:c r="D27" s="136" t="str">
        <x:v>Privacy, governance, fairness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5" hidden="0" customWidth="1"/>
    <x:col min="4" max="4" width="14" hidden="0" customWidth="1"/>
  </x:cols>
  <x:sheetData>
    <x:row r="1" ht="28" customHeight="1">
      <x:c r="A1" s="5" t="str">
        <x:v>Research Sources and Verification</x:v>
      </x:c>
      <x:c r="B1" s="5"/>
      <x:c r="C1" s="5"/>
      <x:c r="D1" s="5"/>
    </x:row>
    <x:row r="2" ht="28" customHeight="1">
      <x:c r="A2" s="12" t="str">
        <x:v>AWS documentation was treated as the source of truth. Local research documents supplied the pedagogy and knowledge-type analysis.</x:v>
      </x:c>
      <x:c r="B2" s="12"/>
      <x:c r="C2" s="12"/>
      <x:c r="D2" s="12"/>
    </x:row>
    <x:row r="4">
      <x:c r="A4" s="28" t="str">
        <x:v>Source</x:v>
      </x:c>
      <x:c r="B4" s="28" t="str">
        <x:v>Purpose</x:v>
      </x:c>
      <x:c r="C4" s="28" t="str">
        <x:v>URL / Location</x:v>
      </x:c>
      <x:c r="D4" s="28" t="str">
        <x:v>Verified Date</x:v>
      </x:c>
    </x:row>
    <x:row r="5" ht="40" customHeight="1">
      <x:c r="A5" s="38" t="str">
        <x:v>AIP-C01 exam guide</x:v>
      </x:c>
      <x:c r="B5" s="39" t="str">
        <x:v>Official domains, weightings, tasks, and scope</x:v>
      </x:c>
      <x:c r="C5" s="39" t="str">
        <x:v>https://docs.aws.amazon.com/aws-certification/latest/ai-professional-01/ai-professional-01.html</x:v>
      </x:c>
      <x:c r="D5" s="40" t="str">
        <x:v>2026-06-15</x:v>
      </x:c>
    </x:row>
    <x:row r="6" ht="40" customHeight="1">
      <x:c r="A6" s="41" t="str">
        <x:v>Domain 1</x:v>
      </x:c>
      <x:c r="B6" s="42" t="str">
        <x:v>Official Domain 1 tasks and skills</x:v>
      </x:c>
      <x:c r="C6" s="42" t="str">
        <x:v>https://docs.aws.amazon.com/aws-certification/latest/ai-professional-01/ai-professional-01-domain1.html</x:v>
      </x:c>
      <x:c r="D6" s="43" t="str">
        <x:v>2026-06-15</x:v>
      </x:c>
    </x:row>
    <x:row r="7" ht="40" customHeight="1">
      <x:c r="A7" s="41" t="str">
        <x:v>Domain 2</x:v>
      </x:c>
      <x:c r="B7" s="42" t="str">
        <x:v>Official Domain 2 tasks and skills</x:v>
      </x:c>
      <x:c r="C7" s="42" t="str">
        <x:v>https://docs.aws.amazon.com/aws-certification/latest/ai-professional-01/ai-professional-01-domain2.html</x:v>
      </x:c>
      <x:c r="D7" s="43" t="str">
        <x:v>2026-06-15</x:v>
      </x:c>
    </x:row>
    <x:row r="8" ht="40" customHeight="1">
      <x:c r="A8" s="41" t="str">
        <x:v>Domain 3</x:v>
      </x:c>
      <x:c r="B8" s="42" t="str">
        <x:v>Official Domain 3 tasks and skills</x:v>
      </x:c>
      <x:c r="C8" s="42" t="str">
        <x:v>https://docs.aws.amazon.com/aws-certification/latest/ai-professional-01/ai-professional-01-domain3.html</x:v>
      </x:c>
      <x:c r="D8" s="43" t="str">
        <x:v>2026-06-15</x:v>
      </x:c>
    </x:row>
    <x:row r="9" ht="40" customHeight="1">
      <x:c r="A9" s="41" t="str">
        <x:v>Domain 4</x:v>
      </x:c>
      <x:c r="B9" s="42" t="str">
        <x:v>Official Domain 4 tasks and skills</x:v>
      </x:c>
      <x:c r="C9" s="42" t="str">
        <x:v>https://docs.aws.amazon.com/aws-certification/latest/ai-professional-01/ai-professional-01-domain4.html</x:v>
      </x:c>
      <x:c r="D9" s="43" t="str">
        <x:v>2026-06-15</x:v>
      </x:c>
    </x:row>
    <x:row r="10" ht="40" customHeight="1">
      <x:c r="A10" s="41" t="str">
        <x:v>Domain 5</x:v>
      </x:c>
      <x:c r="B10" s="42" t="str">
        <x:v>Official Domain 5 tasks and skills</x:v>
      </x:c>
      <x:c r="C10" s="42" t="str">
        <x:v>https://docs.aws.amazon.com/aws-certification/latest/ai-professional-01/ai-professional-01-domain5.html</x:v>
      </x:c>
      <x:c r="D10" s="43" t="str">
        <x:v>2026-06-15</x:v>
      </x:c>
    </x:row>
    <x:row r="11" ht="40" customHeight="1">
      <x:c r="A11" s="41" t="str">
        <x:v>Technologies and concepts</x:v>
      </x:c>
      <x:c r="B11" s="42" t="str">
        <x:v>Official cross-cutting technology list</x:v>
      </x:c>
      <x:c r="C11" s="42" t="str">
        <x:v>https://docs.aws.amazon.com/aws-certification/latest/ai-professional-01/ai-professional-01-technologies-concepts.html</x:v>
      </x:c>
      <x:c r="D11" s="43" t="str">
        <x:v>2026-06-15</x:v>
      </x:c>
    </x:row>
    <x:row r="12" ht="40" customHeight="1">
      <x:c r="A12" s="41" t="str">
        <x:v>In-scope AWS services</x:v>
      </x:c>
      <x:c r="B12" s="42" t="str">
        <x:v>Official service scope</x:v>
      </x:c>
      <x:c r="C12" s="42" t="str">
        <x:v>https://docs.aws.amazon.com/aws-certification/latest/ai-professional-01/aip-01-in-scope-services.html</x:v>
      </x:c>
      <x:c r="D12" s="43" t="str">
        <x:v>2026-06-15</x:v>
      </x:c>
    </x:row>
    <x:row r="13" ht="40" customHeight="1">
      <x:c r="A13" s="41" t="str">
        <x:v>AIP-C01_Knowledge_Type_Classification.md</x:v>
      </x:c>
      <x:c r="B13" s="42" t="str">
        <x:v>Knowledge classification, teaching, and assessment research</x:v>
      </x:c>
      <x:c r="C13" s="42" t="str">
        <x:v>Local research document</x:v>
      </x:c>
      <x:c r="D13" s="43" t="str">
        <x:v>2026-06-15</x:v>
      </x:c>
    </x:row>
    <x:row r="14" ht="40" customHeight="1">
      <x:c r="A14" s="41" t="str">
        <x:v>AIP-C01_Teaching_Strategy.md</x:v>
      </x:c>
      <x:c r="B14" s="42" t="str">
        <x:v>Dependency, mastery-gate, diagnostic, and progression strategy</x:v>
      </x:c>
      <x:c r="C14" s="42" t="str">
        <x:v>Local strategy document</x:v>
      </x:c>
      <x:c r="D14" s="43" t="str">
        <x:v>2026-06-15</x:v>
      </x:c>
    </x:row>
    <x:row r="15" ht="40" customHeight="1">
      <x:c r="A15" s="44" t="str">
        <x:v>attached-syllabus-knowledge-types.md</x:v>
      </x:c>
      <x:c r="B15" s="45" t="str">
        <x:v>Supplementary embedded and institutional knowledge analysis</x:v>
      </x:c>
      <x:c r="C15" s="45" t="str">
        <x:v>Local supplementary research</x:v>
      </x:c>
      <x:c r="D15" s="46" t="str">
        <x:v>2026-06-15</x:v>
      </x:c>
    </x:row>
    <x:row r="17">
      <x:c r="A17" s="263" t="str">
        <x:v>Important: The AWS exam guide states that its content outline and technology lists are not exhaustive. Revalidate the workbook against the official guide before a future course release or exam attempt.</x:v>
      </x:c>
      <x:c r="B17" s="264"/>
      <x:c r="C17" s="264"/>
      <x:c r="D17" s="265"/>
    </x:row>
    <x:row r="18">
      <x:c r="A18" s="266"/>
      <x:c r="B18" s="267"/>
      <x:c r="C18" s="267"/>
      <x:c r="D18" s="268"/>
    </x:row>
    <x:row r="19">
      <x:c r="A19" s="269"/>
      <x:c r="B19" s="270"/>
      <x:c r="C19" s="270"/>
      <x:c r="D19" s="271"/>
    </x:row>
  </x:sheetData>
  <x:mergeCells>
    <x:mergeCell ref="A1:D1"/>
    <x:mergeCell ref="A2:D2"/>
    <x:mergeCell ref="A17:D19"/>
  </x:mergeCells>
  <x:pageMargins left="0.7" right="0.7" top="0.75" bottom="0.75" header="0.3" footer="0.3"/>
  <x:tableParts count="1">
    <x:tablePart xmlns:r="http://schemas.openxmlformats.org/officeDocument/2006/relationships" r:id="Rb414b63efca64e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52" hidden="0" customWidth="1"/>
  </x:cols>
  <x:sheetData>
    <x:row r="1" ht="28" customHeight="1">
      <x:c r="A1" s="5" t="str">
        <x:v>Normalized Official Skill-to-Curriculum Topic Mapping</x:v>
      </x:c>
      <x:c r="B1" s="5"/>
      <x:c r="C1" s="5"/>
    </x:row>
    <x:row r="2" ht="26" customHeight="1">
      <x:c r="A2" s="12" t="str">
        <x:v>One row per official skill/topic relationship. This sheet supports the formula-driven coverage audit.</x:v>
      </x:c>
      <x:c r="B2" s="12"/>
      <x:c r="C2" s="12"/>
    </x:row>
    <x:row r="4">
      <x:c r="A4" s="28" t="str">
        <x:v>Skill ID</x:v>
      </x:c>
      <x:c r="B4" s="28" t="str">
        <x:v>Topic Index</x:v>
      </x:c>
      <x:c r="C4" s="28" t="str">
        <x:v>Topic Name</x:v>
      </x:c>
    </x:row>
    <x:row r="5" ht="28" customHeight="1">
      <x:c r="A5" s="146" t="str">
        <x:v>1.6.5</x:v>
      </x:c>
      <x:c r="B5" s="300" t="n">
        <x:v>2</x:v>
      </x:c>
      <x:c r="C5" s="130" t="str">
        <x:v>Tokens, context windows, inference, temperature, top-k, and top-p</x:v>
      </x:c>
    </x:row>
    <x:row r="6" ht="28" customHeight="1">
      <x:c r="A6" s="147" t="str">
        <x:v>4.1.1</x:v>
      </x:c>
      <x:c r="B6" s="301" t="n">
        <x:v>2</x:v>
      </x:c>
      <x:c r="C6" s="133" t="str">
        <x:v>Tokens, context windows, inference, temperature, top-k, and top-p</x:v>
      </x:c>
    </x:row>
    <x:row r="7" ht="28" customHeight="1">
      <x:c r="A7" s="147" t="str">
        <x:v>4.2.4</x:v>
      </x:c>
      <x:c r="B7" s="301" t="n">
        <x:v>2</x:v>
      </x:c>
      <x:c r="C7" s="133" t="str">
        <x:v>Tokens, context windows, inference, temperature, top-k, and top-p</x:v>
      </x:c>
    </x:row>
    <x:row r="8" ht="28" customHeight="1">
      <x:c r="A8" s="147" t="str">
        <x:v>5.2.1</x:v>
      </x:c>
      <x:c r="B8" s="301" t="n">
        <x:v>2</x:v>
      </x:c>
      <x:c r="C8" s="133" t="str">
        <x:v>Tokens, context windows, inference, temperature, top-k, and top-p</x:v>
      </x:c>
    </x:row>
    <x:row r="9" ht="28" customHeight="1">
      <x:c r="A9" s="147" t="str">
        <x:v>2.3.1</x:v>
      </x:c>
      <x:c r="B9" s="301" t="n">
        <x:v>4</x:v>
      </x:c>
      <x:c r="C9" s="133" t="str">
        <x:v>API, event-driven, serverless, container, and workflow fundamentals</x:v>
      </x:c>
    </x:row>
    <x:row r="10" ht="28" customHeight="1">
      <x:c r="A10" s="147" t="str">
        <x:v>2.4.1</x:v>
      </x:c>
      <x:c r="B10" s="301" t="n">
        <x:v>4</x:v>
      </x:c>
      <x:c r="C10" s="133" t="str">
        <x:v>API, event-driven, serverless, container, and workflow fundamentals</x:v>
      </x:c>
    </x:row>
    <x:row r="11" ht="28" customHeight="1">
      <x:c r="A11" s="147" t="str">
        <x:v>2.5.1</x:v>
      </x:c>
      <x:c r="B11" s="301" t="n">
        <x:v>4</x:v>
      </x:c>
      <x:c r="C11" s="133" t="str">
        <x:v>API, event-driven, serverless, container, and workflow fundamentals</x:v>
      </x:c>
    </x:row>
    <x:row r="12" ht="28" customHeight="1">
      <x:c r="A12" s="147" t="str">
        <x:v>2.3.3</x:v>
      </x:c>
      <x:c r="B12" s="301" t="n">
        <x:v>5</x:v>
      </x:c>
      <x:c r="C12" s="133" t="str">
        <x:v>IAM, trust boundaries, least privilege, networking, and data-protection fundamentals</x:v>
      </x:c>
    </x:row>
    <x:row r="13" ht="28" customHeight="1">
      <x:c r="A13" s="147" t="str">
        <x:v>3.2.1</x:v>
      </x:c>
      <x:c r="B13" s="301" t="n">
        <x:v>5</x:v>
      </x:c>
      <x:c r="C13" s="133" t="str">
        <x:v>IAM, trust boundaries, least privilege, networking, and data-protection fundamentals</x:v>
      </x:c>
    </x:row>
    <x:row r="14" ht="28" customHeight="1">
      <x:c r="A14" s="147" t="str">
        <x:v>3.2.2</x:v>
      </x:c>
      <x:c r="B14" s="301" t="n">
        <x:v>5</x:v>
      </x:c>
      <x:c r="C14" s="133" t="str">
        <x:v>IAM, trust boundaries, least privilege, networking, and data-protection fundamentals</x:v>
      </x:c>
    </x:row>
    <x:row r="15" ht="28" customHeight="1">
      <x:c r="A15" s="147" t="str">
        <x:v>1.1.1</x:v>
      </x:c>
      <x:c r="B15" s="301" t="n">
        <x:v>6</x:v>
      </x:c>
      <x:c r="C15" s="133" t="str">
        <x:v>GenAI requirements analysis and basic solution architecture</x:v>
      </x:c>
    </x:row>
    <x:row r="16" ht="28" customHeight="1">
      <x:c r="A16" s="147" t="str">
        <x:v>1.1.2</x:v>
      </x:c>
      <x:c r="B16" s="301" t="n">
        <x:v>6</x:v>
      </x:c>
      <x:c r="C16" s="133" t="str">
        <x:v>GenAI requirements analysis and basic solution architecture</x:v>
      </x:c>
    </x:row>
    <x:row r="17" ht="28" customHeight="1">
      <x:c r="A17" s="147" t="str">
        <x:v>1.1.3</x:v>
      </x:c>
      <x:c r="B17" s="301" t="n">
        <x:v>6</x:v>
      </x:c>
      <x:c r="C17" s="133" t="str">
        <x:v>GenAI requirements analysis and basic solution architecture</x:v>
      </x:c>
    </x:row>
    <x:row r="18" ht="28" customHeight="1">
      <x:c r="A18" s="147" t="str">
        <x:v>1.2.1</x:v>
      </x:c>
      <x:c r="B18" s="301" t="n">
        <x:v>7</x:v>
      </x:c>
      <x:c r="C18" s="133" t="str">
        <x:v>Foundation-model capabilities, limitations, and basic model selection</x:v>
      </x:c>
    </x:row>
    <x:row r="19" ht="28" customHeight="1">
      <x:c r="A19" s="147" t="str">
        <x:v>2.2.1</x:v>
      </x:c>
      <x:c r="B19" s="301" t="n">
        <x:v>8</x:v>
      </x:c>
      <x:c r="C19" s="133" t="str">
        <x:v>Basic Amazon Bedrock model invocation</x:v>
      </x:c>
    </x:row>
    <x:row r="20" ht="28" customHeight="1">
      <x:c r="A20" s="147" t="str">
        <x:v>2.4.1</x:v>
      </x:c>
      <x:c r="B20" s="301" t="n">
        <x:v>8</x:v>
      </x:c>
      <x:c r="C20" s="133" t="str">
        <x:v>Basic Amazon Bedrock model invocation</x:v>
      </x:c>
    </x:row>
    <x:row r="21" ht="28" customHeight="1">
      <x:c r="A21" s="147" t="str">
        <x:v>1.6.1</x:v>
      </x:c>
      <x:c r="B21" s="301" t="n">
        <x:v>9</x:v>
      </x:c>
      <x:c r="C21" s="133" t="str">
        <x:v>Prompt fundamentals, instructions, templates, and structured outputs</x:v>
      </x:c>
    </x:row>
    <x:row r="22" ht="28" customHeight="1">
      <x:c r="A22" s="147" t="str">
        <x:v>1.6.5</x:v>
      </x:c>
      <x:c r="B22" s="301" t="n">
        <x:v>9</x:v>
      </x:c>
      <x:c r="C22" s="133" t="str">
        <x:v>Prompt fundamentals, instructions, templates, and structured outputs</x:v>
      </x:c>
    </x:row>
    <x:row r="23" ht="28" customHeight="1">
      <x:c r="A23" s="147" t="str">
        <x:v>5.1.1</x:v>
      </x:c>
      <x:c r="B23" s="301" t="n">
        <x:v>10</x:v>
      </x:c>
      <x:c r="C23" s="133" t="str">
        <x:v>Basic GenAI evaluation concepts and golden datasets</x:v>
      </x:c>
    </x:row>
    <x:row r="24" ht="28" customHeight="1">
      <x:c r="A24" s="147" t="str">
        <x:v>5.1.4</x:v>
      </x:c>
      <x:c r="B24" s="301" t="n">
        <x:v>10</x:v>
      </x:c>
      <x:c r="C24" s="133" t="str">
        <x:v>Basic GenAI evaluation concepts and golden datasets</x:v>
      </x:c>
    </x:row>
    <x:row r="25" ht="28" customHeight="1">
      <x:c r="A25" s="147" t="str">
        <x:v>5.1.5</x:v>
      </x:c>
      <x:c r="B25" s="301" t="n">
        <x:v>10</x:v>
      </x:c>
      <x:c r="C25" s="133" t="str">
        <x:v>Basic GenAI evaluation concepts and golden datasets</x:v>
      </x:c>
    </x:row>
    <x:row r="26" ht="28" customHeight="1">
      <x:c r="A26" s="147" t="str">
        <x:v>1.3.1</x:v>
      </x:c>
      <x:c r="B26" s="301" t="n">
        <x:v>11</x:v>
      </x:c>
      <x:c r="C26" s="133" t="str">
        <x:v>Data-quality validation and monitoring</x:v>
      </x:c>
    </x:row>
    <x:row r="27" ht="28" customHeight="1">
      <x:c r="A27" s="147" t="str">
        <x:v>1.3.2</x:v>
      </x:c>
      <x:c r="B27" s="301" t="n">
        <x:v>12</x:v>
      </x:c>
      <x:c r="C27" s="133" t="str">
        <x:v>Text, image, audio, and tabular-data preprocessing</x:v>
      </x:c>
    </x:row>
    <x:row r="28" ht="28" customHeight="1">
      <x:c r="A28" s="147" t="str">
        <x:v>1.3.3</x:v>
      </x:c>
      <x:c r="B28" s="301" t="n">
        <x:v>13</x:v>
      </x:c>
      <x:c r="C28" s="133" t="str">
        <x:v>Model-specific input formatting and data normalization</x:v>
      </x:c>
    </x:row>
    <x:row r="29" ht="28" customHeight="1">
      <x:c r="A29" s="147" t="str">
        <x:v>1.3.4</x:v>
      </x:c>
      <x:c r="B29" s="301" t="n">
        <x:v>13</x:v>
      </x:c>
      <x:c r="C29" s="133" t="str">
        <x:v>Model-specific input formatting and data normalization</x:v>
      </x:c>
    </x:row>
    <x:row r="30" ht="28" customHeight="1">
      <x:c r="A30" s="147" t="str">
        <x:v>1.5.2</x:v>
      </x:c>
      <x:c r="B30" s="301" t="n">
        <x:v>14</x:v>
      </x:c>
      <x:c r="C30" s="133" t="str">
        <x:v>Embeddings and vector-similarity fundamentals</x:v>
      </x:c>
    </x:row>
    <x:row r="31" ht="28" customHeight="1">
      <x:c r="A31" s="147" t="str">
        <x:v>1.5.1</x:v>
      </x:c>
      <x:c r="B31" s="301" t="n">
        <x:v>15</x:v>
      </x:c>
      <x:c r="C31" s="133" t="str">
        <x:v>Document chunking and segmentation</x:v>
      </x:c>
    </x:row>
    <x:row r="32" ht="28" customHeight="1">
      <x:c r="A32" s="147" t="str">
        <x:v>1.4.2</x:v>
      </x:c>
      <x:c r="B32" s="301" t="n">
        <x:v>16</x:v>
      </x:c>
      <x:c r="C32" s="133" t="str">
        <x:v>Metadata design and filtering</x:v>
      </x:c>
    </x:row>
    <x:row r="33" ht="28" customHeight="1">
      <x:c r="A33" s="147" t="str">
        <x:v>1.4.1</x:v>
      </x:c>
      <x:c r="B33" s="301" t="n">
        <x:v>17</x:v>
      </x:c>
      <x:c r="C33" s="133" t="str">
        <x:v>Vector-store technologies and architecture</x:v>
      </x:c>
    </x:row>
    <x:row r="34" ht="28" customHeight="1">
      <x:c r="A34" s="147" t="str">
        <x:v>1.5.3</x:v>
      </x:c>
      <x:c r="B34" s="301" t="n">
        <x:v>17</x:v>
      </x:c>
      <x:c r="C34" s="133" t="str">
        <x:v>Vector-store technologies and architecture</x:v>
      </x:c>
    </x:row>
    <x:row r="35" ht="28" customHeight="1">
      <x:c r="A35" s="147" t="str">
        <x:v>1.4.3</x:v>
      </x:c>
      <x:c r="B35" s="301" t="n">
        <x:v>18</x:v>
      </x:c>
      <x:c r="C35" s="133" t="str">
        <x:v>Vector indexing, sharding, scaling, and performance</x:v>
      </x:c>
    </x:row>
    <x:row r="36" ht="28" customHeight="1">
      <x:c r="A36" s="147" t="str">
        <x:v>1.5.3</x:v>
      </x:c>
      <x:c r="B36" s="301" t="n">
        <x:v>19</x:v>
      </x:c>
      <x:c r="C36" s="133" t="str">
        <x:v>Basic semantic retrieval</x:v>
      </x:c>
    </x:row>
    <x:row r="37" ht="28" customHeight="1">
      <x:c r="A37" s="147" t="str">
        <x:v>1.4.1</x:v>
      </x:c>
      <x:c r="B37" s="301" t="n">
        <x:v>20</x:v>
      </x:c>
      <x:c r="C37" s="133" t="str">
        <x:v>Basic Retrieval-Augmented Generation</x:v>
      </x:c>
    </x:row>
    <x:row r="38" ht="28" customHeight="1">
      <x:c r="A38" s="147" t="str">
        <x:v>1.5.3</x:v>
      </x:c>
      <x:c r="B38" s="301" t="n">
        <x:v>20</x:v>
      </x:c>
      <x:c r="C38" s="133" t="str">
        <x:v>Basic Retrieval-Augmented Generation</x:v>
      </x:c>
    </x:row>
    <x:row r="39" ht="28" customHeight="1">
      <x:c r="A39" s="147" t="str">
        <x:v>1.5.4</x:v>
      </x:c>
      <x:c r="B39" s="301" t="n">
        <x:v>21</x:v>
      </x:c>
      <x:c r="C39" s="133" t="str">
        <x:v>Hybrid search and custom scoring</x:v>
      </x:c>
    </x:row>
    <x:row r="40" ht="28" customHeight="1">
      <x:c r="A40" s="147" t="str">
        <x:v>4.2.2</x:v>
      </x:c>
      <x:c r="B40" s="301" t="n">
        <x:v>21</x:v>
      </x:c>
      <x:c r="C40" s="133" t="str">
        <x:v>Hybrid search and custom scoring</x:v>
      </x:c>
    </x:row>
    <x:row r="41" ht="28" customHeight="1">
      <x:c r="A41" s="147" t="str">
        <x:v>1.5.4</x:v>
      </x:c>
      <x:c r="B41" s="301" t="n">
        <x:v>22</x:v>
      </x:c>
      <x:c r="C41" s="133" t="str">
        <x:v>Reranking</x:v>
      </x:c>
    </x:row>
    <x:row r="42" ht="28" customHeight="1">
      <x:c r="A42" s="147" t="str">
        <x:v>1.5.5</x:v>
      </x:c>
      <x:c r="B42" s="301" t="n">
        <x:v>23</x:v>
      </x:c>
      <x:c r="C42" s="133" t="str">
        <x:v>Query expansion, decomposition, and transformation</x:v>
      </x:c>
    </x:row>
    <x:row r="43" ht="28" customHeight="1">
      <x:c r="A43" s="147" t="str">
        <x:v>1.4.4</x:v>
      </x:c>
      <x:c r="B43" s="301" t="n">
        <x:v>24</x:v>
      </x:c>
      <x:c r="C43" s="133" t="str">
        <x:v>Vector-store ingestion, synchronization, refresh, and maintenance</x:v>
      </x:c>
    </x:row>
    <x:row r="44" ht="28" customHeight="1">
      <x:c r="A44" s="147" t="str">
        <x:v>1.4.5</x:v>
      </x:c>
      <x:c r="B44" s="301" t="n">
        <x:v>24</x:v>
      </x:c>
      <x:c r="C44" s="133" t="str">
        <x:v>Vector-store ingestion, synchronization, refresh, and maintenance</x:v>
      </x:c>
    </x:row>
    <x:row r="45" ht="28" customHeight="1">
      <x:c r="A45" s="147" t="str">
        <x:v>1.5.6</x:v>
      </x:c>
      <x:c r="B45" s="301" t="n">
        <x:v>25</x:v>
      </x:c>
      <x:c r="C45" s="133" t="str">
        <x:v>Retrieval APIs, function interfaces, and MCP access</x:v>
      </x:c>
    </x:row>
    <x:row r="46" ht="28" customHeight="1">
      <x:c r="A46" s="147" t="str">
        <x:v>5.1.6</x:v>
      </x:c>
      <x:c r="B46" s="301" t="n">
        <x:v>26</x:v>
      </x:c>
      <x:c r="C46" s="133" t="str">
        <x:v>RAG quality evaluation and retrieval troubleshooting</x:v>
      </x:c>
    </x:row>
    <x:row r="47" ht="28" customHeight="1">
      <x:c r="A47" s="147" t="str">
        <x:v>5.2.4</x:v>
      </x:c>
      <x:c r="B47" s="301" t="n">
        <x:v>26</x:v>
      </x:c>
      <x:c r="C47" s="133" t="str">
        <x:v>RAG quality evaluation and retrieval troubleshooting</x:v>
      </x:c>
    </x:row>
    <x:row r="48" ht="28" customHeight="1">
      <x:c r="A48" s="147" t="str">
        <x:v>1.6.2</x:v>
      </x:c>
      <x:c r="B48" s="301" t="n">
        <x:v>27</x:v>
      </x:c>
      <x:c r="C48" s="133" t="str">
        <x:v>Conversation context, history, intent, and state management</x:v>
      </x:c>
    </x:row>
    <x:row r="49" ht="28" customHeight="1">
      <x:c r="A49" s="147" t="str">
        <x:v>1.6.5</x:v>
      </x:c>
      <x:c r="B49" s="301" t="n">
        <x:v>28</x:v>
      </x:c>
      <x:c r="C49" s="133" t="str">
        <x:v>Advanced prompt engineering and iterative refinement</x:v>
      </x:c>
    </x:row>
    <x:row r="50" ht="28" customHeight="1">
      <x:c r="A50" s="147" t="str">
        <x:v>1.6.3</x:v>
      </x:c>
      <x:c r="B50" s="301" t="n">
        <x:v>29</x:v>
      </x:c>
      <x:c r="C50" s="133" t="str">
        <x:v>Prompt versioning, repositories, approvals, and governance</x:v>
      </x:c>
    </x:row>
    <x:row r="51" ht="28" customHeight="1">
      <x:c r="A51" s="147" t="str">
        <x:v>1.6.4</x:v>
      </x:c>
      <x:c r="B51" s="301" t="n">
        <x:v>30</x:v>
      </x:c>
      <x:c r="C51" s="133" t="str">
        <x:v>Prompt regression testing and quality assurance</x:v>
      </x:c>
    </x:row>
    <x:row r="52" ht="28" customHeight="1">
      <x:c r="A52" s="147" t="str">
        <x:v>5.1.4</x:v>
      </x:c>
      <x:c r="B52" s="301" t="n">
        <x:v>30</x:v>
      </x:c>
      <x:c r="C52" s="133" t="str">
        <x:v>Prompt regression testing and quality assurance</x:v>
      </x:c>
    </x:row>
    <x:row r="53" ht="28" customHeight="1">
      <x:c r="A53" s="147" t="str">
        <x:v>1.6.6</x:v>
      </x:c>
      <x:c r="B53" s="301" t="n">
        <x:v>31</x:v>
      </x:c>
      <x:c r="C53" s="133" t="str">
        <x:v>Prompt chaining, branching, and Bedrock Prompt Flows</x:v>
      </x:c>
    </x:row>
    <x:row r="54" ht="28" customHeight="1">
      <x:c r="A54" s="147" t="str">
        <x:v>2.4.1</x:v>
      </x:c>
      <x:c r="B54" s="301" t="n">
        <x:v>32</x:v>
      </x:c>
      <x:c r="C54" s="133" t="str">
        <x:v>Synchronous FM API integration</x:v>
      </x:c>
    </x:row>
    <x:row r="55" ht="28" customHeight="1">
      <x:c r="A55" s="147" t="str">
        <x:v>2.4.1</x:v>
      </x:c>
      <x:c r="B55" s="301" t="n">
        <x:v>33</x:v>
      </x:c>
      <x:c r="C55" s="133" t="str">
        <x:v>Asynchronous FM processing</x:v>
      </x:c>
    </x:row>
    <x:row r="56" ht="28" customHeight="1">
      <x:c r="A56" s="147" t="str">
        <x:v>2.4.2</x:v>
      </x:c>
      <x:c r="B56" s="301" t="n">
        <x:v>34</x:v>
      </x:c>
      <x:c r="C56" s="133" t="str">
        <x:v>Streaming responses, WebSockets, and server-sent events</x:v>
      </x:c>
    </x:row>
    <x:row r="57" ht="28" customHeight="1">
      <x:c r="A57" s="147" t="str">
        <x:v>1.3.3</x:v>
      </x:c>
      <x:c r="B57" s="301" t="n">
        <x:v>35</x:v>
      </x:c>
      <x:c r="C57" s="133" t="str">
        <x:v>Token limits, request validation, and response handling</x:v>
      </x:c>
    </x:row>
    <x:row r="58" ht="28" customHeight="1">
      <x:c r="A58" s="147" t="str">
        <x:v>2.5.1</x:v>
      </x:c>
      <x:c r="B58" s="301" t="n">
        <x:v>35</x:v>
      </x:c>
      <x:c r="C58" s="133" t="str">
        <x:v>Token limits, request validation, and response handling</x:v>
      </x:c>
    </x:row>
    <x:row r="59" ht="28" customHeight="1">
      <x:c r="A59" s="147" t="str">
        <x:v>5.2.1</x:v>
      </x:c>
      <x:c r="B59" s="301" t="n">
        <x:v>35</x:v>
      </x:c>
      <x:c r="C59" s="133" t="str">
        <x:v>Token limits, request validation, and response handling</x:v>
      </x:c>
    </x:row>
    <x:row r="60" ht="28" customHeight="1">
      <x:c r="A60" s="147" t="str">
        <x:v>2.4.3</x:v>
      </x:c>
      <x:c r="B60" s="301" t="n">
        <x:v>36</x:v>
      </x:c>
      <x:c r="C60" s="133" t="str">
        <x:v>Retries, exponential backoff, rate limiting, and timeouts</x:v>
      </x:c>
    </x:row>
    <x:row r="61" ht="28" customHeight="1">
      <x:c r="A61" s="147" t="str">
        <x:v>2.5.1</x:v>
      </x:c>
      <x:c r="B61" s="301" t="n">
        <x:v>36</x:v>
      </x:c>
      <x:c r="C61" s="133" t="str">
        <x:v>Retries, exponential backoff, rate limiting, and timeouts</x:v>
      </x:c>
    </x:row>
    <x:row r="62" ht="28" customHeight="1">
      <x:c r="A62" s="147" t="str">
        <x:v>1.2.3</x:v>
      </x:c>
      <x:c r="B62" s="301" t="n">
        <x:v>37</x:v>
      </x:c>
      <x:c r="C62" s="133" t="str">
        <x:v>Fallbacks, circuit breakers, and graceful degradation</x:v>
      </x:c>
    </x:row>
    <x:row r="63" ht="28" customHeight="1">
      <x:c r="A63" s="147" t="str">
        <x:v>2.4.3</x:v>
      </x:c>
      <x:c r="B63" s="301" t="n">
        <x:v>37</x:v>
      </x:c>
      <x:c r="C63" s="133" t="str">
        <x:v>Fallbacks, circuit breakers, and graceful degradation</x:v>
      </x:c>
    </x:row>
    <x:row r="64" ht="28" customHeight="1">
      <x:c r="A64" s="147" t="str">
        <x:v>2.4.3</x:v>
      </x:c>
      <x:c r="B64" s="301" t="n">
        <x:v>38</x:v>
      </x:c>
      <x:c r="C64" s="133" t="str">
        <x:v>Distributed tracing and FM API observability</x:v>
      </x:c>
    </x:row>
    <x:row r="65" ht="28" customHeight="1">
      <x:c r="A65" s="147" t="str">
        <x:v>2.5.6</x:v>
      </x:c>
      <x:c r="B65" s="301" t="n">
        <x:v>38</x:v>
      </x:c>
      <x:c r="C65" s="133" t="str">
        <x:v>Distributed tracing and FM API observability</x:v>
      </x:c>
    </x:row>
    <x:row r="66" ht="28" customHeight="1">
      <x:c r="A66" s="147" t="str">
        <x:v>4.3.1</x:v>
      </x:c>
      <x:c r="B66" s="301" t="n">
        <x:v>38</x:v>
      </x:c>
      <x:c r="C66" s="133" t="str">
        <x:v>Distributed tracing and FM API observability</x:v>
      </x:c>
    </x:row>
    <x:row r="67" ht="28" customHeight="1">
      <x:c r="A67" s="147" t="str">
        <x:v>1.2.1</x:v>
      </x:c>
      <x:c r="B67" s="301" t="n">
        <x:v>39</x:v>
      </x:c>
      <x:c r="C67" s="133" t="str">
        <x:v>Detailed model benchmarking and capability evaluation</x:v>
      </x:c>
    </x:row>
    <x:row r="68" ht="28" customHeight="1">
      <x:c r="A68" s="147" t="str">
        <x:v>5.1.2</x:v>
      </x:c>
      <x:c r="B68" s="301" t="n">
        <x:v>39</x:v>
      </x:c>
      <x:c r="C68" s="133" t="str">
        <x:v>Detailed model benchmarking and capability evaluation</x:v>
      </x:c>
    </x:row>
    <x:row r="69" ht="28" customHeight="1">
      <x:c r="A69" s="147" t="str">
        <x:v>1.2.1</x:v>
      </x:c>
      <x:c r="B69" s="301" t="n">
        <x:v>40</x:v>
      </x:c>
      <x:c r="C69" s="133" t="str">
        <x:v>Cost–quality–latency model-selection trade-offs</x:v>
      </x:c>
    </x:row>
    <x:row r="70" ht="28" customHeight="1">
      <x:c r="A70" s="147" t="str">
        <x:v>2.2.3</x:v>
      </x:c>
      <x:c r="B70" s="301" t="n">
        <x:v>40</x:v>
      </x:c>
      <x:c r="C70" s="133" t="str">
        <x:v>Cost–quality–latency model-selection trade-offs</x:v>
      </x:c>
    </x:row>
    <x:row r="71" ht="28" customHeight="1">
      <x:c r="A71" s="147" t="str">
        <x:v>4.1.2</x:v>
      </x:c>
      <x:c r="B71" s="301" t="n">
        <x:v>40</x:v>
      </x:c>
      <x:c r="C71" s="133" t="str">
        <x:v>Cost–quality–latency model-selection trade-offs</x:v>
      </x:c>
    </x:row>
    <x:row r="72" ht="28" customHeight="1">
      <x:c r="A72" s="147" t="str">
        <x:v>5.1.2</x:v>
      </x:c>
      <x:c r="B72" s="301" t="n">
        <x:v>40</x:v>
      </x:c>
      <x:c r="C72" s="133" t="str">
        <x:v>Cost–quality–latency model-selection trade-offs</x:v>
      </x:c>
    </x:row>
    <x:row r="73" ht="28" customHeight="1">
      <x:c r="A73" s="147" t="str">
        <x:v>1.2.2</x:v>
      </x:c>
      <x:c r="B73" s="301" t="n">
        <x:v>41</x:v>
      </x:c>
      <x:c r="C73" s="133" t="str">
        <x:v>Static and dynamic model routing</x:v>
      </x:c>
    </x:row>
    <x:row r="74" ht="28" customHeight="1">
      <x:c r="A74" s="147" t="str">
        <x:v>2.4.4</x:v>
      </x:c>
      <x:c r="B74" s="301" t="n">
        <x:v>41</x:v>
      </x:c>
      <x:c r="C74" s="133" t="str">
        <x:v>Static and dynamic model routing</x:v>
      </x:c>
    </x:row>
    <x:row r="75" ht="28" customHeight="1">
      <x:c r="A75" s="147" t="str">
        <x:v>2.1.4</x:v>
      </x:c>
      <x:c r="B75" s="301" t="n">
        <x:v>42</x:v>
      </x:c>
      <x:c r="C75" s="133" t="str">
        <x:v>Model cascading and specialized-model selection</x:v>
      </x:c>
    </x:row>
    <x:row r="76" ht="28" customHeight="1">
      <x:c r="A76" s="147" t="str">
        <x:v>2.2.3</x:v>
      </x:c>
      <x:c r="B76" s="301" t="n">
        <x:v>42</x:v>
      </x:c>
      <x:c r="C76" s="133" t="str">
        <x:v>Model cascading and specialized-model selection</x:v>
      </x:c>
    </x:row>
    <x:row r="77" ht="28" customHeight="1">
      <x:c r="A77" s="147" t="str">
        <x:v>1.2.3</x:v>
      </x:c>
      <x:c r="B77" s="301" t="n">
        <x:v>43</x:v>
      </x:c>
      <x:c r="C77" s="133" t="str">
        <x:v>Cross-Region inference and model resilience</x:v>
      </x:c>
    </x:row>
    <x:row r="78" ht="28" customHeight="1">
      <x:c r="A78" s="147" t="str">
        <x:v>2.2.1</x:v>
      </x:c>
      <x:c r="B78" s="301" t="n">
        <x:v>44</x:v>
      </x:c>
      <x:c r="C78" s="133" t="str">
        <x:v>On-demand and provisioned-throughput deployment</x:v>
      </x:c>
    </x:row>
    <x:row r="79" ht="28" customHeight="1">
      <x:c r="A79" s="147" t="str">
        <x:v>2.2.1</x:v>
      </x:c>
      <x:c r="B79" s="301" t="n">
        <x:v>45</x:v>
      </x:c>
      <x:c r="C79" s="133" t="str">
        <x:v>SageMaker AI model endpoints</x:v>
      </x:c>
    </x:row>
    <x:row r="80" ht="28" customHeight="1">
      <x:c r="A80" s="147" t="str">
        <x:v>2.2.2</x:v>
      </x:c>
      <x:c r="B80" s="301" t="n">
        <x:v>46</x:v>
      </x:c>
      <x:c r="C80" s="133" t="str">
        <x:v>LLM container, GPU, memory, loading, and token-processing requirements</x:v>
      </x:c>
    </x:row>
    <x:row r="81" ht="28" customHeight="1">
      <x:c r="A81" s="147" t="str">
        <x:v>1.2.4</x:v>
      </x:c>
      <x:c r="B81" s="301" t="n">
        <x:v>47</x:v>
      </x:c>
      <x:c r="C81" s="133" t="str">
        <x:v>Model customization, fine-tuning, LoRA, and adapters</x:v>
      </x:c>
    </x:row>
    <x:row r="82" ht="28" customHeight="1">
      <x:c r="A82" s="147" t="str">
        <x:v>1.2.4</x:v>
      </x:c>
      <x:c r="B82" s="301" t="n">
        <x:v>48</x:v>
      </x:c>
      <x:c r="C82" s="133" t="str">
        <x:v>Model Registry, versioning, rollout, rollback, retirement, and lifecycle management</x:v>
      </x:c>
    </x:row>
    <x:row r="83" ht="28" customHeight="1">
      <x:c r="A83" s="147" t="str">
        <x:v>5.1.9</x:v>
      </x:c>
      <x:c r="B83" s="301" t="n">
        <x:v>48</x:v>
      </x:c>
      <x:c r="C83" s="133" t="str">
        <x:v>Model Registry, versioning, rollout, rollback, retirement, and lifecycle management</x:v>
      </x:c>
    </x:row>
    <x:row r="84" ht="28" customHeight="1">
      <x:c r="A84" s="147" t="str">
        <x:v>2.5.1</x:v>
      </x:c>
      <x:c r="B84" s="301" t="n">
        <x:v>49</x:v>
      </x:c>
      <x:c r="C84" s="133" t="str">
        <x:v>GenAI application API design</x:v>
      </x:c>
    </x:row>
    <x:row r="85" ht="28" customHeight="1">
      <x:c r="A85" s="147" t="str">
        <x:v>2.5.2</x:v>
      </x:c>
      <x:c r="B85" s="301" t="n">
        <x:v>50</x:v>
      </x:c>
      <x:c r="C85" s="133" t="str">
        <x:v>UI, OpenAPI, Amplify, and low-code integration approaches</x:v>
      </x:c>
    </x:row>
    <x:row r="86" ht="28" customHeight="1">
      <x:c r="A86" s="147" t="str">
        <x:v>2.3.2</x:v>
      </x:c>
      <x:c r="B86" s="301" t="n">
        <x:v>51</x:v>
      </x:c>
      <x:c r="C86" s="133" t="str">
        <x:v>Business-application and document-processing integration</x:v>
      </x:c>
    </x:row>
    <x:row r="87" ht="28" customHeight="1">
      <x:c r="A87" s="147" t="str">
        <x:v>2.5.3</x:v>
      </x:c>
      <x:c r="B87" s="301" t="n">
        <x:v>51</x:v>
      </x:c>
      <x:c r="C87" s="133" t="str">
        <x:v>Business-application and document-processing integration</x:v>
      </x:c>
    </x:row>
    <x:row r="88" ht="28" customHeight="1">
      <x:c r="A88" s="147" t="str">
        <x:v>2.3.1</x:v>
      </x:c>
      <x:c r="B88" s="301" t="n">
        <x:v>52</x:v>
      </x:c>
      <x:c r="C88" s="133" t="str">
        <x:v>Event-driven GenAI application patterns</x:v>
      </x:c>
    </x:row>
    <x:row r="89" ht="28" customHeight="1">
      <x:c r="A89" s="147" t="str">
        <x:v>2.3.2</x:v>
      </x:c>
      <x:c r="B89" s="301" t="n">
        <x:v>52</x:v>
      </x:c>
      <x:c r="C89" s="133" t="str">
        <x:v>Event-driven GenAI application patterns</x:v>
      </x:c>
    </x:row>
    <x:row r="90" ht="28" customHeight="1">
      <x:c r="A90" s="147" t="str">
        <x:v>2.3.1</x:v>
      </x:c>
      <x:c r="B90" s="301" t="n">
        <x:v>53</x:v>
      </x:c>
      <x:c r="C90" s="133" t="str">
        <x:v>Legacy-system and enterprise-system integration</x:v>
      </x:c>
    </x:row>
    <x:row r="91" ht="28" customHeight="1">
      <x:c r="A91" s="147" t="str">
        <x:v>2.3.3</x:v>
      </x:c>
      <x:c r="B91" s="301" t="n">
        <x:v>54</x:v>
      </x:c>
      <x:c r="C91" s="133" t="str">
        <x:v>Identity federation and role-based FM and data access</x:v>
      </x:c>
    </x:row>
    <x:row r="92" ht="28" customHeight="1">
      <x:c r="A92" s="147" t="str">
        <x:v>2.3.4</x:v>
      </x:c>
      <x:c r="B92" s="301" t="n">
        <x:v>55</x:v>
      </x:c>
      <x:c r="C92" s="133" t="str">
        <x:v>Hybrid, on-premises, edge, and jurisdictional architectures</x:v>
      </x:c>
    </x:row>
    <x:row r="93" ht="28" customHeight="1">
      <x:c r="A93" s="147" t="str">
        <x:v>2.3.5</x:v>
      </x:c>
      <x:c r="B93" s="301" t="n">
        <x:v>56</x:v>
      </x:c>
      <x:c r="C93" s="133" t="str">
        <x:v>GenAI gateway architecture</x:v>
      </x:c>
    </x:row>
    <x:row r="94" ht="28" customHeight="1">
      <x:c r="A94" s="147" t="str">
        <x:v>2.3.5</x:v>
      </x:c>
      <x:c r="B94" s="301" t="n">
        <x:v>57</x:v>
      </x:c>
      <x:c r="C94" s="133" t="str">
        <x:v>Infrastructure as code</x:v>
      </x:c>
    </x:row>
    <x:row r="95" ht="28" customHeight="1">
      <x:c r="A95" s="147" t="str">
        <x:v>2.3.5</x:v>
      </x:c>
      <x:c r="B95" s="301" t="n">
        <x:v>58</x:v>
      </x:c>
      <x:c r="C95" s="133" t="str">
        <x:v>CI/CD for models, prompts, agents, and application components</x:v>
      </x:c>
    </x:row>
    <x:row r="96" ht="28" customHeight="1">
      <x:c r="A96" s="147" t="str">
        <x:v>2.3.5</x:v>
      </x:c>
      <x:c r="B96" s="301" t="n">
        <x:v>59</x:v>
      </x:c>
      <x:c r="C96" s="133" t="str">
        <x:v>Automated testing, security scanning, deployment gates, and rollback</x:v>
      </x:c>
    </x:row>
    <x:row r="97" ht="28" customHeight="1">
      <x:c r="A97" s="147" t="str">
        <x:v>5.1.4</x:v>
      </x:c>
      <x:c r="B97" s="301" t="n">
        <x:v>59</x:v>
      </x:c>
      <x:c r="C97" s="133" t="str">
        <x:v>Automated testing, security scanning, deployment gates, and rollback</x:v>
      </x:c>
    </x:row>
    <x:row r="98" ht="28" customHeight="1">
      <x:c r="A98" s="147" t="str">
        <x:v>5.1.9</x:v>
      </x:c>
      <x:c r="B98" s="301" t="n">
        <x:v>59</x:v>
      </x:c>
      <x:c r="C98" s="133" t="str">
        <x:v>Automated testing, security scanning, deployment gates, and rollback</x:v>
      </x:c>
    </x:row>
    <x:row r="99" ht="28" customHeight="1">
      <x:c r="A99" s="147" t="str">
        <x:v>2.5.4</x:v>
      </x:c>
      <x:c r="B99" s="301" t="n">
        <x:v>60</x:v>
      </x:c>
      <x:c r="C99" s="133" t="str">
        <x:v>GenAI developer tools and Amazon Q Developer</x:v>
      </x:c>
    </x:row>
    <x:row r="100" ht="28" customHeight="1">
      <x:c r="A100" s="147" t="str">
        <x:v>2.1.6</x:v>
      </x:c>
      <x:c r="B100" s="301" t="n">
        <x:v>61</x:v>
      </x:c>
      <x:c r="C100" s="133" t="str">
        <x:v>Function calling and tool-interface design</x:v>
      </x:c>
    </x:row>
    <x:row r="101" ht="28" customHeight="1">
      <x:c r="A101" s="147" t="str">
        <x:v>2.1.3</x:v>
      </x:c>
      <x:c r="B101" s="301" t="n">
        <x:v>62</x:v>
      </x:c>
      <x:c r="C101" s="133" t="str">
        <x:v>Tool schemas, parameter validation, authorization, and error handling</x:v>
      </x:c>
    </x:row>
    <x:row r="102" ht="28" customHeight="1">
      <x:c r="A102" s="147" t="str">
        <x:v>2.1.6</x:v>
      </x:c>
      <x:c r="B102" s="301" t="n">
        <x:v>62</x:v>
      </x:c>
      <x:c r="C102" s="133" t="str">
        <x:v>Tool schemas, parameter validation, authorization, and error handling</x:v>
      </x:c>
    </x:row>
    <x:row r="103" ht="28" customHeight="1">
      <x:c r="A103" s="147" t="str">
        <x:v>1.5.6</x:v>
      </x:c>
      <x:c r="B103" s="301" t="n">
        <x:v>63</x:v>
      </x:c>
      <x:c r="C103" s="133" t="str">
        <x:v>MCP clients and servers</x:v>
      </x:c>
    </x:row>
    <x:row r="104" ht="28" customHeight="1">
      <x:c r="A104" s="147" t="str">
        <x:v>2.1.1</x:v>
      </x:c>
      <x:c r="B104" s="301" t="n">
        <x:v>63</x:v>
      </x:c>
      <x:c r="C104" s="133" t="str">
        <x:v>MCP clients and servers</x:v>
      </x:c>
    </x:row>
    <x:row r="105" ht="28" customHeight="1">
      <x:c r="A105" s="147" t="str">
        <x:v>2.1.7</x:v>
      </x:c>
      <x:c r="B105" s="301" t="n">
        <x:v>63</x:v>
      </x:c>
      <x:c r="C105" s="133" t="str">
        <x:v>MCP clients and servers</x:v>
      </x:c>
    </x:row>
    <x:row r="106" ht="28" customHeight="1">
      <x:c r="A106" s="147" t="str">
        <x:v>2.1.1</x:v>
      </x:c>
      <x:c r="B106" s="301" t="n">
        <x:v>64</x:v>
      </x:c>
      <x:c r="C106" s="133" t="str">
        <x:v>Single-agent architecture and orchestration</x:v>
      </x:c>
    </x:row>
    <x:row r="107" ht="28" customHeight="1">
      <x:c r="A107" s="147" t="str">
        <x:v>2.5.5</x:v>
      </x:c>
      <x:c r="B107" s="301" t="n">
        <x:v>64</x:v>
      </x:c>
      <x:c r="C107" s="133" t="str">
        <x:v>Single-agent architecture and orchestration</x:v>
      </x:c>
    </x:row>
    <x:row r="108" ht="28" customHeight="1">
      <x:c r="A108" s="147" t="str">
        <x:v>2.1.2</x:v>
      </x:c>
      <x:c r="B108" s="301" t="n">
        <x:v>65</x:v>
      </x:c>
      <x:c r="C108" s="133" t="str">
        <x:v>Agent planning, task decomposition, and structured reasoning</x:v>
      </x:c>
    </x:row>
    <x:row r="109" ht="28" customHeight="1">
      <x:c r="A109" s="147" t="str">
        <x:v>2.1.1</x:v>
      </x:c>
      <x:c r="B109" s="301" t="n">
        <x:v>66</x:v>
      </x:c>
      <x:c r="C109" s="133" t="str">
        <x:v>Agent memory and state management</x:v>
      </x:c>
    </x:row>
    <x:row r="110" ht="28" customHeight="1">
      <x:c r="A110" s="147" t="str">
        <x:v>2.1.6</x:v>
      </x:c>
      <x:c r="B110" s="301" t="n">
        <x:v>67</x:v>
      </x:c>
      <x:c r="C110" s="133" t="str">
        <x:v>Tool-use reliability and failure recovery</x:v>
      </x:c>
    </x:row>
    <x:row r="111" ht="28" customHeight="1">
      <x:c r="A111" s="147" t="str">
        <x:v>2.1.3</x:v>
      </x:c>
      <x:c r="B111" s="301" t="n">
        <x:v>68</x:v>
      </x:c>
      <x:c r="C111" s="133" t="str">
        <x:v>Agent stopping conditions, timeouts, boundaries, and circuit breakers</x:v>
      </x:c>
    </x:row>
    <x:row r="112" ht="28" customHeight="1">
      <x:c r="A112" s="147" t="str">
        <x:v>2.1.5</x:v>
      </x:c>
      <x:c r="B112" s="301" t="n">
        <x:v>69</x:v>
      </x:c>
      <x:c r="C112" s="133" t="str">
        <x:v>Human-in-the-loop review, approval, escalation, and feedback</x:v>
      </x:c>
    </x:row>
    <x:row r="113" ht="28" customHeight="1">
      <x:c r="A113" s="147" t="str">
        <x:v>2.1.4</x:v>
      </x:c>
      <x:c r="B113" s="301" t="n">
        <x:v>70</x:v>
      </x:c>
      <x:c r="C113" s="133" t="str">
        <x:v>Specialized-model and agent coordination</x:v>
      </x:c>
    </x:row>
    <x:row r="114" ht="28" customHeight="1">
      <x:c r="A114" s="147" t="str">
        <x:v>2.1.1</x:v>
      </x:c>
      <x:c r="B114" s="301" t="n">
        <x:v>71</x:v>
      </x:c>
      <x:c r="C114" s="133" t="str">
        <x:v>Multi-agent systems</x:v>
      </x:c>
    </x:row>
    <x:row r="115" ht="28" customHeight="1">
      <x:c r="A115" s="147" t="str">
        <x:v>2.1.4</x:v>
      </x:c>
      <x:c r="B115" s="301" t="n">
        <x:v>71</x:v>
      </x:c>
      <x:c r="C115" s="133" t="str">
        <x:v>Multi-agent systems</x:v>
      </x:c>
    </x:row>
    <x:row r="116" ht="28" customHeight="1">
      <x:c r="A116" s="147" t="str">
        <x:v>2.5.5</x:v>
      </x:c>
      <x:c r="B116" s="301" t="n">
        <x:v>71</x:v>
      </x:c>
      <x:c r="C116" s="133" t="str">
        <x:v>Multi-agent systems</x:v>
      </x:c>
    </x:row>
    <x:row r="117" ht="28" customHeight="1">
      <x:c r="A117" s="147" t="str">
        <x:v>3.4.1</x:v>
      </x:c>
      <x:c r="B117" s="301" t="n">
        <x:v>72</x:v>
      </x:c>
      <x:c r="C117" s="133" t="str">
        <x:v>Agent tracing and observability</x:v>
      </x:c>
    </x:row>
    <x:row r="118" ht="28" customHeight="1">
      <x:c r="A118" s="147" t="str">
        <x:v>4.3.4</x:v>
      </x:c>
      <x:c r="B118" s="301" t="n">
        <x:v>72</x:v>
      </x:c>
      <x:c r="C118" s="133" t="str">
        <x:v>Agent tracing and observability</x:v>
      </x:c>
    </x:row>
    <x:row r="119" ht="28" customHeight="1">
      <x:c r="A119" s="147" t="str">
        <x:v>5.1.7</x:v>
      </x:c>
      <x:c r="B119" s="301" t="n">
        <x:v>73</x:v>
      </x:c>
      <x:c r="C119" s="133" t="str">
        <x:v>Agent evaluation and task-completion measurement</x:v>
      </x:c>
    </x:row>
    <x:row r="120" ht="28" customHeight="1">
      <x:c r="A120" s="147" t="str">
        <x:v>3.1.1</x:v>
      </x:c>
      <x:c r="B120" s="301" t="n">
        <x:v>74</x:v>
      </x:c>
      <x:c r="C120" s="133" t="str">
        <x:v>Input content filtering and moderation</x:v>
      </x:c>
    </x:row>
    <x:row r="121" ht="28" customHeight="1">
      <x:c r="A121" s="147" t="str">
        <x:v>3.1.2</x:v>
      </x:c>
      <x:c r="B121" s="301" t="n">
        <x:v>75</x:v>
      </x:c>
      <x:c r="C121" s="133" t="str">
        <x:v>Output filtering and moderation</x:v>
      </x:c>
    </x:row>
    <x:row r="122" ht="28" customHeight="1">
      <x:c r="A122" s="147" t="str">
        <x:v>3.1.3</x:v>
      </x:c>
      <x:c r="B122" s="301" t="n">
        <x:v>76</x:v>
      </x:c>
      <x:c r="C122" s="133" t="str">
        <x:v>Grounding, factual verification, confidence, and hallucination reduction</x:v>
      </x:c>
    </x:row>
    <x:row r="123" ht="28" customHeight="1">
      <x:c r="A123" s="147" t="str">
        <x:v>3.1.2</x:v>
      </x:c>
      <x:c r="B123" s="301" t="n">
        <x:v>77</x:v>
      </x:c>
      <x:c r="C123" s="133" t="str">
        <x:v>Structured and deterministic output controls</x:v>
      </x:c>
    </x:row>
    <x:row r="124" ht="28" customHeight="1">
      <x:c r="A124" s="147" t="str">
        <x:v>3.1.3</x:v>
      </x:c>
      <x:c r="B124" s="301" t="n">
        <x:v>77</x:v>
      </x:c>
      <x:c r="C124" s="133" t="str">
        <x:v>Structured and deterministic output controls</x:v>
      </x:c>
    </x:row>
    <x:row r="125" ht="28" customHeight="1">
      <x:c r="A125" s="147" t="str">
        <x:v>3.1.5</x:v>
      </x:c>
      <x:c r="B125" s="301" t="n">
        <x:v>78</x:v>
      </x:c>
      <x:c r="C125" s="133" t="str">
        <x:v>Prompt-injection and jailbreak threats</x:v>
      </x:c>
    </x:row>
    <x:row r="126" ht="28" customHeight="1">
      <x:c r="A126" s="147" t="str">
        <x:v>3.1.5</x:v>
      </x:c>
      <x:c r="B126" s="301" t="n">
        <x:v>79</x:v>
      </x:c>
      <x:c r="C126" s="133" t="str">
        <x:v>Adversarial testing and safety classifiers</x:v>
      </x:c>
    </x:row>
    <x:row r="127" ht="28" customHeight="1">
      <x:c r="A127" s="147" t="str">
        <x:v>3.1.4</x:v>
      </x:c>
      <x:c r="B127" s="301" t="n">
        <x:v>80</x:v>
      </x:c>
      <x:c r="C127" s="133" t="str">
        <x:v>Defense-in-depth GenAI safety architecture</x:v>
      </x:c>
    </x:row>
    <x:row r="128" ht="28" customHeight="1">
      <x:c r="A128" s="147" t="str">
        <x:v>3.2.1</x:v>
      </x:c>
      <x:c r="B128" s="301" t="n">
        <x:v>81</x:v>
      </x:c>
      <x:c r="C128" s="133" t="str">
        <x:v>VPC endpoints and protected AI environments</x:v>
      </x:c>
    </x:row>
    <x:row r="129" ht="28" customHeight="1">
      <x:c r="A129" s="147" t="str">
        <x:v>2.3.3</x:v>
      </x:c>
      <x:c r="B129" s="301" t="n">
        <x:v>82</x:v>
      </x:c>
      <x:c r="C129" s="133" t="str">
        <x:v>IAM and granular data access for GenAI</x:v>
      </x:c>
    </x:row>
    <x:row r="130" ht="28" customHeight="1">
      <x:c r="A130" s="147" t="str">
        <x:v>3.2.1</x:v>
      </x:c>
      <x:c r="B130" s="301" t="n">
        <x:v>82</x:v>
      </x:c>
      <x:c r="C130" s="133" t="str">
        <x:v>IAM and granular data access for GenAI</x:v>
      </x:c>
    </x:row>
    <x:row r="131" ht="28" customHeight="1">
      <x:c r="A131" s="147" t="str">
        <x:v>3.2.2</x:v>
      </x:c>
      <x:c r="B131" s="301" t="n">
        <x:v>83</x:v>
      </x:c>
      <x:c r="C131" s="133" t="str">
        <x:v>PII and sensitive-data discovery</x:v>
      </x:c>
    </x:row>
    <x:row r="132" ht="28" customHeight="1">
      <x:c r="A132" s="147" t="str">
        <x:v>3.2.3</x:v>
      </x:c>
      <x:c r="B132" s="301" t="n">
        <x:v>84</x:v>
      </x:c>
      <x:c r="C132" s="133" t="str">
        <x:v>Data masking, anonymization, and redaction</x:v>
      </x:c>
    </x:row>
    <x:row r="133" ht="28" customHeight="1">
      <x:c r="A133" s="147" t="str">
        <x:v>3.2.2</x:v>
      </x:c>
      <x:c r="B133" s="301" t="n">
        <x:v>85</x:v>
      </x:c>
      <x:c r="C133" s="133" t="str">
        <x:v>Data retention, logging privacy, and lifecycle controls</x:v>
      </x:c>
    </x:row>
    <x:row r="134" ht="28" customHeight="1">
      <x:c r="A134" s="147" t="str">
        <x:v>3.3.1</x:v>
      </x:c>
      <x:c r="B134" s="301" t="n">
        <x:v>86</x:v>
      </x:c>
      <x:c r="C134" s="133" t="str">
        <x:v>Data lineage and source attribution</x:v>
      </x:c>
    </x:row>
    <x:row r="135" ht="28" customHeight="1">
      <x:c r="A135" s="147" t="str">
        <x:v>3.3.2</x:v>
      </x:c>
      <x:c r="B135" s="301" t="n">
        <x:v>86</x:v>
      </x:c>
      <x:c r="C135" s="133" t="str">
        <x:v>Data lineage and source attribution</x:v>
      </x:c>
    </x:row>
    <x:row r="136" ht="28" customHeight="1">
      <x:c r="A136" s="147" t="str">
        <x:v>3.3.1</x:v>
      </x:c>
      <x:c r="B136" s="301" t="n">
        <x:v>87</x:v>
      </x:c>
      <x:c r="C136" s="133" t="str">
        <x:v>Model cards and model documentation</x:v>
      </x:c>
    </x:row>
    <x:row r="137" ht="28" customHeight="1">
      <x:c r="A137" s="147" t="str">
        <x:v>3.4.3</x:v>
      </x:c>
      <x:c r="B137" s="301" t="n">
        <x:v>87</x:v>
      </x:c>
      <x:c r="C137" s="133" t="str">
        <x:v>Model cards and model documentation</x:v>
      </x:c>
    </x:row>
    <x:row r="138" ht="28" customHeight="1">
      <x:c r="A138" s="147" t="str">
        <x:v>3.3.1</x:v>
      </x:c>
      <x:c r="B138" s="301" t="n">
        <x:v>88</x:v>
      </x:c>
      <x:c r="C138" s="133" t="str">
        <x:v>Audit logging and decision traceability</x:v>
      </x:c>
    </x:row>
    <x:row r="139" ht="28" customHeight="1">
      <x:c r="A139" s="147" t="str">
        <x:v>3.3.2</x:v>
      </x:c>
      <x:c r="B139" s="301" t="n">
        <x:v>88</x:v>
      </x:c>
      <x:c r="C139" s="133" t="str">
        <x:v>Audit logging and decision traceability</x:v>
      </x:c>
    </x:row>
    <x:row r="140" ht="28" customHeight="1">
      <x:c r="A140" s="147" t="str">
        <x:v>3.3.3</x:v>
      </x:c>
      <x:c r="B140" s="301" t="n">
        <x:v>89</x:v>
      </x:c>
      <x:c r="C140" s="133" t="str">
        <x:v>Organizational AI governance and accountability</x:v>
      </x:c>
    </x:row>
    <x:row r="141" ht="28" customHeight="1">
      <x:c r="A141" s="147" t="str">
        <x:v>3.3.3</x:v>
      </x:c>
      <x:c r="B141" s="301" t="n">
        <x:v>90</x:v>
      </x:c>
      <x:c r="C141" s="133" t="str">
        <x:v>Policy-to-control mapping</x:v>
      </x:c>
    </x:row>
    <x:row r="142" ht="28" customHeight="1">
      <x:c r="A142" s="147" t="str">
        <x:v>3.4.3</x:v>
      </x:c>
      <x:c r="B142" s="301" t="n">
        <x:v>90</x:v>
      </x:c>
      <x:c r="C142" s="133" t="str">
        <x:v>Policy-to-control mapping</x:v>
      </x:c>
    </x:row>
    <x:row r="143" ht="28" customHeight="1">
      <x:c r="A143" s="147" t="str">
        <x:v>3.3.4</x:v>
      </x:c>
      <x:c r="B143" s="301" t="n">
        <x:v>91</x:v>
      </x:c>
      <x:c r="C143" s="133" t="str">
        <x:v>Continuous policy, misuse, bias, and drift monitoring</x:v>
      </x:c>
    </x:row>
    <x:row r="144" ht="28" customHeight="1">
      <x:c r="A144" s="147" t="str">
        <x:v>3.4.1</x:v>
      </x:c>
      <x:c r="B144" s="301" t="n">
        <x:v>92</x:v>
      </x:c>
      <x:c r="C144" s="133" t="str">
        <x:v>Transparency, evidence presentation, and uncertainty communication</x:v>
      </x:c>
    </x:row>
    <x:row r="145" ht="28" customHeight="1">
      <x:c r="A145" s="147" t="str">
        <x:v>3.4.2</x:v>
      </x:c>
      <x:c r="B145" s="301" t="n">
        <x:v>93</x:v>
      </x:c>
      <x:c r="C145" s="133" t="str">
        <x:v>Fairness metrics and subgroup evaluation</x:v>
      </x:c>
    </x:row>
    <x:row r="146" ht="28" customHeight="1">
      <x:c r="A146" s="147" t="str">
        <x:v>3.4.3</x:v>
      </x:c>
      <x:c r="B146" s="301" t="n">
        <x:v>94</x:v>
      </x:c>
      <x:c r="C146" s="133" t="str">
        <x:v>Responsible-AI policy enforcement</x:v>
      </x:c>
    </x:row>
    <x:row r="147" ht="28" customHeight="1">
      <x:c r="A147" s="147" t="str">
        <x:v>3.3.4</x:v>
      </x:c>
      <x:c r="B147" s="301" t="n">
        <x:v>95</x:v>
      </x:c>
      <x:c r="C147" s="133" t="str">
        <x:v>Regulatory readiness and governance evidence</x:v>
      </x:c>
    </x:row>
    <x:row r="148" ht="28" customHeight="1">
      <x:c r="A148" s="147" t="str">
        <x:v>3.4.3</x:v>
      </x:c>
      <x:c r="B148" s="301" t="n">
        <x:v>95</x:v>
      </x:c>
      <x:c r="C148" s="133" t="str">
        <x:v>Regulatory readiness and governance evidence</x:v>
      </x:c>
    </x:row>
    <x:row r="149" ht="28" customHeight="1">
      <x:c r="A149" s="147" t="str">
        <x:v>4.1.1</x:v>
      </x:c>
      <x:c r="B149" s="301" t="n">
        <x:v>96</x:v>
      </x:c>
      <x:c r="C149" s="133" t="str">
        <x:v>Token estimation, tracking, pruning, and prompt compression</x:v>
      </x:c>
    </x:row>
    <x:row r="150" ht="28" customHeight="1">
      <x:c r="A150" s="147" t="str">
        <x:v>4.1.1</x:v>
      </x:c>
      <x:c r="B150" s="301" t="n">
        <x:v>97</x:v>
      </x:c>
      <x:c r="C150" s="133" t="str">
        <x:v>Response-size and context-window optimization</x:v>
      </x:c>
    </x:row>
    <x:row r="151" ht="28" customHeight="1">
      <x:c r="A151" s="147" t="str">
        <x:v>4.1.2</x:v>
      </x:c>
      <x:c r="B151" s="301" t="n">
        <x:v>98</x:v>
      </x:c>
      <x:c r="C151" s="133" t="str">
        <x:v>Cost-effective model selection and tiered model use</x:v>
      </x:c>
    </x:row>
    <x:row r="152" ht="28" customHeight="1">
      <x:c r="A152" s="147" t="str">
        <x:v>2.2.3</x:v>
      </x:c>
      <x:c r="B152" s="301" t="n">
        <x:v>98</x:v>
      </x:c>
      <x:c r="C152" s="133" t="str">
        <x:v>Cost-effective model selection and tiered model use</x:v>
      </x:c>
    </x:row>
    <x:row r="153" ht="28" customHeight="1">
      <x:c r="A153" s="147" t="str">
        <x:v>4.1.4</x:v>
      </x:c>
      <x:c r="B153" s="301" t="n">
        <x:v>99</x:v>
      </x:c>
      <x:c r="C153" s="133" t="str">
        <x:v>Semantic, prompt, deterministic, and edge caching</x:v>
      </x:c>
    </x:row>
    <x:row r="154" ht="28" customHeight="1">
      <x:c r="A154" s="147" t="str">
        <x:v>4.1.3</x:v>
      </x:c>
      <x:c r="B154" s="301" t="n">
        <x:v>100</x:v>
      </x:c>
      <x:c r="C154" s="133" t="str">
        <x:v>Batching and batch inference</x:v>
      </x:c>
    </x:row>
    <x:row r="155" ht="28" customHeight="1">
      <x:c r="A155" s="147" t="str">
        <x:v>4.2.3</x:v>
      </x:c>
      <x:c r="B155" s="301" t="n">
        <x:v>100</x:v>
      </x:c>
      <x:c r="C155" s="133" t="str">
        <x:v>Batching and batch inference</x:v>
      </x:c>
    </x:row>
    <x:row r="156" ht="28" customHeight="1">
      <x:c r="A156" s="147" t="str">
        <x:v>4.1.3</x:v>
      </x:c>
      <x:c r="B156" s="301" t="n">
        <x:v>101</x:v>
      </x:c>
      <x:c r="C156" s="133" t="str">
        <x:v>Throughput and concurrency management</x:v>
      </x:c>
    </x:row>
    <x:row r="157" ht="28" customHeight="1">
      <x:c r="A157" s="147" t="str">
        <x:v>4.2.3</x:v>
      </x:c>
      <x:c r="B157" s="301" t="n">
        <x:v>101</x:v>
      </x:c>
      <x:c r="C157" s="133" t="str">
        <x:v>Throughput and concurrency management</x:v>
      </x:c>
    </x:row>
    <x:row r="158" ht="28" customHeight="1">
      <x:c r="A158" s="147" t="str">
        <x:v>4.1.3</x:v>
      </x:c>
      <x:c r="B158" s="301" t="n">
        <x:v>102</x:v>
      </x:c>
      <x:c r="C158" s="133" t="str">
        <x:v>Capacity planning, provisioned throughput, and autoscaling</x:v>
      </x:c>
    </x:row>
    <x:row r="159" ht="28" customHeight="1">
      <x:c r="A159" s="147" t="str">
        <x:v>4.2.5</x:v>
      </x:c>
      <x:c r="B159" s="301" t="n">
        <x:v>102</x:v>
      </x:c>
      <x:c r="C159" s="133" t="str">
        <x:v>Capacity planning, provisioned throughput, and autoscaling</x:v>
      </x:c>
    </x:row>
    <x:row r="160" ht="28" customHeight="1">
      <x:c r="A160" s="147" t="str">
        <x:v>4.2.1</x:v>
      </x:c>
      <x:c r="B160" s="301" t="n">
        <x:v>103</x:v>
      </x:c>
      <x:c r="C160" s="133" t="str">
        <x:v>Latency decomposition, streaming, parallelism, and precomputation</x:v>
      </x:c>
    </x:row>
    <x:row r="161" ht="28" customHeight="1">
      <x:c r="A161" s="147" t="str">
        <x:v>4.2.2</x:v>
      </x:c>
      <x:c r="B161" s="301" t="n">
        <x:v>104</x:v>
      </x:c>
      <x:c r="C161" s="133" t="str">
        <x:v>Retrieval and vector-index performance optimization</x:v>
      </x:c>
    </x:row>
    <x:row r="162" ht="28" customHeight="1">
      <x:c r="A162" s="147" t="str">
        <x:v>4.2.6</x:v>
      </x:c>
      <x:c r="B162" s="301" t="n">
        <x:v>104</x:v>
      </x:c>
      <x:c r="C162" s="133" t="str">
        <x:v>Retrieval and vector-index performance optimization</x:v>
      </x:c>
    </x:row>
    <x:row r="163" ht="28" customHeight="1">
      <x:c r="A163" s="147" t="str">
        <x:v>4.2.4</x:v>
      </x:c>
      <x:c r="B163" s="301" t="n">
        <x:v>105</x:v>
      </x:c>
      <x:c r="C163" s="133" t="str">
        <x:v>FM parameter optimization and A/B testing</x:v>
      </x:c>
    </x:row>
    <x:row r="164" ht="28" customHeight="1">
      <x:c r="A164" s="147" t="str">
        <x:v>4.2.6</x:v>
      </x:c>
      <x:c r="B164" s="301" t="n">
        <x:v>106</x:v>
      </x:c>
      <x:c r="C164" s="133" t="str">
        <x:v>End-to-end GenAI workflow profiling</x:v>
      </x:c>
    </x:row>
    <x:row r="165" ht="28" customHeight="1">
      <x:c r="A165" s="147" t="str">
        <x:v>4.3.1</x:v>
      </x:c>
      <x:c r="B165" s="301" t="n">
        <x:v>107</x:v>
      </x:c>
      <x:c r="C165" s="133" t="str">
        <x:v>GenAI operational metrics, logs, traces, and dashboards</x:v>
      </x:c>
    </x:row>
    <x:row r="166" ht="28" customHeight="1">
      <x:c r="A166" s="147" t="str">
        <x:v>4.3.2</x:v>
      </x:c>
      <x:c r="B166" s="301" t="n">
        <x:v>108</x:v>
      </x:c>
      <x:c r="C166" s="133" t="str">
        <x:v>Token, cost, latency, throughput, and utilization monitoring</x:v>
      </x:c>
    </x:row>
    <x:row r="167" ht="28" customHeight="1">
      <x:c r="A167" s="147" t="str">
        <x:v>4.3.2</x:v>
      </x:c>
      <x:c r="B167" s="301" t="n">
        <x:v>109</x:v>
      </x:c>
      <x:c r="C167" s="133" t="str">
        <x:v>Prompt effectiveness, response quality, hallucination, and drift monitoring</x:v>
      </x:c>
    </x:row>
    <x:row r="168" ht="28" customHeight="1">
      <x:c r="A168" s="147" t="str">
        <x:v>4.3.6</x:v>
      </x:c>
      <x:c r="B168" s="301" t="n">
        <x:v>109</x:v>
      </x:c>
      <x:c r="C168" s="133" t="str">
        <x:v>Prompt effectiveness, response quality, hallucination, and drift monitoring</x:v>
      </x:c>
    </x:row>
    <x:row r="169" ht="28" customHeight="1">
      <x:c r="A169" s="147" t="str">
        <x:v>4.3.5</x:v>
      </x:c>
      <x:c r="B169" s="301" t="n">
        <x:v>110</x:v>
      </x:c>
      <x:c r="C169" s="133" t="str">
        <x:v>Vector-store monitoring and index-health management</x:v>
      </x:c>
    </x:row>
    <x:row r="170" ht="28" customHeight="1">
      <x:c r="A170" s="147" t="str">
        <x:v>4.3.4</x:v>
      </x:c>
      <x:c r="B170" s="301" t="n">
        <x:v>111</x:v>
      </x:c>
      <x:c r="C170" s="133" t="str">
        <x:v>Tool-call and multi-agent coordination monitoring</x:v>
      </x:c>
    </x:row>
    <x:row r="171" ht="28" customHeight="1">
      <x:c r="A171" s="147" t="str">
        <x:v>4.3.3</x:v>
      </x:c>
      <x:c r="B171" s="301" t="n">
        <x:v>112</x:v>
      </x:c>
      <x:c r="C171" s="133" t="str">
        <x:v>Business, compliance, forensic, and user-impact observability</x:v>
      </x:c>
    </x:row>
    <x:row r="172" ht="28" customHeight="1">
      <x:c r="A172" s="147" t="str">
        <x:v>5.1.8</x:v>
      </x:c>
      <x:c r="B172" s="301" t="n">
        <x:v>112</x:v>
      </x:c>
      <x:c r="C172" s="133" t="str">
        <x:v>Business, compliance, forensic, and user-impact observability</x:v>
      </x:c>
    </x:row>
    <x:row r="173" ht="28" customHeight="1">
      <x:c r="A173" s="147" t="str">
        <x:v>5.1.1</x:v>
      </x:c>
      <x:c r="B173" s="301" t="n">
        <x:v>113</x:v>
      </x:c>
      <x:c r="C173" s="133" t="str">
        <x:v>Model-output quality metrics</x:v>
      </x:c>
    </x:row>
    <x:row r="174" ht="28" customHeight="1">
      <x:c r="A174" s="147" t="str">
        <x:v>5.1.2</x:v>
      </x:c>
      <x:c r="B174" s="301" t="n">
        <x:v>114</x:v>
      </x:c>
      <x:c r="C174" s="133" t="str">
        <x:v>Bedrock Model Evaluations</x:v>
      </x:c>
    </x:row>
    <x:row r="175" ht="28" customHeight="1">
      <x:c r="A175" s="147" t="str">
        <x:v>5.1.3</x:v>
      </x:c>
      <x:c r="B175" s="301" t="n">
        <x:v>115</x:v>
      </x:c>
      <x:c r="C175" s="133" t="str">
        <x:v>Human evaluation and annotation workflows</x:v>
      </x:c>
    </x:row>
    <x:row r="176" ht="28" customHeight="1">
      <x:c r="A176" s="147" t="str">
        <x:v>5.1.5</x:v>
      </x:c>
      <x:c r="B176" s="301" t="n">
        <x:v>115</x:v>
      </x:c>
      <x:c r="C176" s="133" t="str">
        <x:v>Human evaluation and annotation workflows</x:v>
      </x:c>
    </x:row>
    <x:row r="177" ht="28" customHeight="1">
      <x:c r="A177" s="147" t="str">
        <x:v>5.1.5</x:v>
      </x:c>
      <x:c r="B177" s="301" t="n">
        <x:v>116</x:v>
      </x:c>
      <x:c r="C177" s="133" t="str">
        <x:v>LLM-as-a-judge evaluation</x:v>
      </x:c>
    </x:row>
    <x:row r="178" ht="28" customHeight="1">
      <x:c r="A178" s="147" t="str">
        <x:v>5.1.5</x:v>
      </x:c>
      <x:c r="B178" s="301" t="n">
        <x:v>117</x:v>
      </x:c>
      <x:c r="C178" s="133" t="str">
        <x:v>RAG evaluation</x:v>
      </x:c>
    </x:row>
    <x:row r="179" ht="28" customHeight="1">
      <x:c r="A179" s="147" t="str">
        <x:v>5.1.6</x:v>
      </x:c>
      <x:c r="B179" s="301" t="n">
        <x:v>117</x:v>
      </x:c>
      <x:c r="C179" s="133" t="str">
        <x:v>RAG evaluation</x:v>
      </x:c>
    </x:row>
    <x:row r="180" ht="28" customHeight="1">
      <x:c r="A180" s="147" t="str">
        <x:v>5.1.7</x:v>
      </x:c>
      <x:c r="B180" s="301" t="n">
        <x:v>118</x:v>
      </x:c>
      <x:c r="C180" s="133" t="str">
        <x:v>Agent evaluation</x:v>
      </x:c>
    </x:row>
    <x:row r="181" ht="28" customHeight="1">
      <x:c r="A181" s="147" t="str">
        <x:v>5.1.2</x:v>
      </x:c>
      <x:c r="B181" s="301" t="n">
        <x:v>119</x:v>
      </x:c>
      <x:c r="C181" s="133" t="str">
        <x:v>A/B testing, canary testing, and multi-model comparison</x:v>
      </x:c>
    </x:row>
    <x:row r="182" ht="28" customHeight="1">
      <x:c r="A182" s="147" t="str">
        <x:v>5.1.4</x:v>
      </x:c>
      <x:c r="B182" s="301" t="n">
        <x:v>120</x:v>
      </x:c>
      <x:c r="C182" s="133" t="str">
        <x:v>Continuous evaluation and regression testing</x:v>
      </x:c>
    </x:row>
    <x:row r="183" ht="28" customHeight="1">
      <x:c r="A183" s="147" t="str">
        <x:v>5.1.9</x:v>
      </x:c>
      <x:c r="B183" s="301" t="n">
        <x:v>121</x:v>
      </x:c>
      <x:c r="C183" s="133" t="str">
        <x:v>Synthetic-user and deployment-validation workflows</x:v>
      </x:c>
    </x:row>
    <x:row r="184" ht="28" customHeight="1">
      <x:c r="A184" s="147" t="str">
        <x:v>5.2.1</x:v>
      </x:c>
      <x:c r="B184" s="301" t="n">
        <x:v>122</x:v>
      </x:c>
      <x:c r="C184" s="133" t="str">
        <x:v>Context-window, truncation, and content-handling troubleshooting</x:v>
      </x:c>
    </x:row>
    <x:row r="185" ht="28" customHeight="1">
      <x:c r="A185" s="147" t="str">
        <x:v>5.2.2</x:v>
      </x:c>
      <x:c r="B185" s="301" t="n">
        <x:v>123</x:v>
      </x:c>
      <x:c r="C185" s="133" t="str">
        <x:v>FM API and integration troubleshooting</x:v>
      </x:c>
    </x:row>
    <x:row r="186" ht="28" customHeight="1">
      <x:c r="A186" s="147" t="str">
        <x:v>2.5.6</x:v>
      </x:c>
      <x:c r="B186" s="301" t="n">
        <x:v>123</x:v>
      </x:c>
      <x:c r="C186" s="133" t="str">
        <x:v>FM API and integration troubleshooting</x:v>
      </x:c>
    </x:row>
    <x:row r="187" ht="28" customHeight="1">
      <x:c r="A187" s="147" t="str">
        <x:v>5.2.3</x:v>
      </x:c>
      <x:c r="B187" s="301" t="n">
        <x:v>124</x:v>
      </x:c>
      <x:c r="C187" s="133" t="str">
        <x:v>Prompt troubleshooting and maintenance</x:v>
      </x:c>
    </x:row>
    <x:row r="188" ht="28" customHeight="1">
      <x:c r="A188" s="147" t="str">
        <x:v>5.2.5</x:v>
      </x:c>
      <x:c r="B188" s="301" t="n">
        <x:v>124</x:v>
      </x:c>
      <x:c r="C188" s="133" t="str">
        <x:v>Prompt troubleshooting and maintenance</x:v>
      </x:c>
    </x:row>
    <x:row r="189" ht="28" customHeight="1">
      <x:c r="A189" s="147" t="str">
        <x:v>5.2.4</x:v>
      </x:c>
      <x:c r="B189" s="301" t="n">
        <x:v>125</x:v>
      </x:c>
      <x:c r="C189" s="133" t="str">
        <x:v>Embedding, chunking, indexing, and retrieval troubleshooting</x:v>
      </x:c>
    </x:row>
    <x:row r="190" ht="28" customHeight="1">
      <x:c r="A190" s="147" t="str">
        <x:v>5.1.7</x:v>
      </x:c>
      <x:c r="B190" s="301" t="n">
        <x:v>126</x:v>
      </x:c>
      <x:c r="C190" s="133" t="str">
        <x:v>Agent and tool-use troubleshooting</x:v>
      </x:c>
    </x:row>
    <x:row r="191" ht="28" customHeight="1">
      <x:c r="A191" s="147" t="str">
        <x:v>4.3.4</x:v>
      </x:c>
      <x:c r="B191" s="301" t="n">
        <x:v>126</x:v>
      </x:c>
      <x:c r="C191" s="133" t="str">
        <x:v>Agent and tool-use troubleshooting</x:v>
      </x:c>
    </x:row>
    <x:row r="192" ht="28" customHeight="1">
      <x:c r="A192" s="147" t="str">
        <x:v>2.5.6</x:v>
      </x:c>
      <x:c r="B192" s="301" t="n">
        <x:v>126</x:v>
      </x:c>
      <x:c r="C192" s="133" t="str">
        <x:v>Agent and tool-use troubleshooting</x:v>
      </x:c>
    </x:row>
    <x:row r="193" ht="28" customHeight="1">
      <x:c r="A193" s="147" t="str">
        <x:v>4.2.1</x:v>
      </x:c>
      <x:c r="B193" s="301" t="n">
        <x:v>127</x:v>
      </x:c>
      <x:c r="C193" s="133" t="str">
        <x:v>Cost, latency, throughput, and scaling troubleshooting</x:v>
      </x:c>
    </x:row>
    <x:row r="194" ht="28" customHeight="1">
      <x:c r="A194" s="147" t="str">
        <x:v>4.2.3</x:v>
      </x:c>
      <x:c r="B194" s="301" t="n">
        <x:v>127</x:v>
      </x:c>
      <x:c r="C194" s="133" t="str">
        <x:v>Cost, latency, throughput, and scaling troubleshooting</x:v>
      </x:c>
    </x:row>
    <x:row r="195" ht="28" customHeight="1">
      <x:c r="A195" s="147" t="str">
        <x:v>4.2.5</x:v>
      </x:c>
      <x:c r="B195" s="301" t="n">
        <x:v>127</x:v>
      </x:c>
      <x:c r="C195" s="133" t="str">
        <x:v>Cost, latency, throughput, and scaling troubleshooting</x:v>
      </x:c>
    </x:row>
    <x:row r="196" ht="28" customHeight="1">
      <x:c r="A196" s="147" t="str">
        <x:v>4.2.6</x:v>
      </x:c>
      <x:c r="B196" s="301" t="n">
        <x:v>127</x:v>
      </x:c>
      <x:c r="C196" s="133" t="str">
        <x:v>Cost, latency, throughput, and scaling troubleshooting</x:v>
      </x:c>
    </x:row>
    <x:row r="197" ht="28" customHeight="1">
      <x:c r="A197" s="147" t="str">
        <x:v>4.3.6</x:v>
      </x:c>
      <x:c r="B197" s="301" t="n">
        <x:v>127</x:v>
      </x:c>
      <x:c r="C197" s="133" t="str">
        <x:v>Cost, latency, throughput, and scaling troubleshooting</x:v>
      </x:c>
    </x:row>
    <x:row r="198" ht="28" customHeight="1">
      <x:c r="A198" s="147" t="str">
        <x:v>4.3.6</x:v>
      </x:c>
      <x:c r="B198" s="301" t="n">
        <x:v>128</x:v>
      </x:c>
      <x:c r="C198" s="133" t="str">
        <x:v>End-to-end incident analysis and root-cause diagnosis</x:v>
      </x:c>
    </x:row>
    <x:row r="199" ht="28" customHeight="1">
      <x:c r="A199" s="147" t="str">
        <x:v>2.5.6</x:v>
      </x:c>
      <x:c r="B199" s="301" t="n">
        <x:v>128</x:v>
      </x:c>
      <x:c r="C199" s="133" t="str">
        <x:v>End-to-end incident analysis and root-cause diagnosis</x:v>
      </x:c>
    </x:row>
    <x:row r="200" ht="28" customHeight="1">
      <x:c r="A200" s="147" t="str">
        <x:v>5.2.1</x:v>
      </x:c>
      <x:c r="B200" s="301" t="n">
        <x:v>128</x:v>
      </x:c>
      <x:c r="C200" s="133" t="str">
        <x:v>End-to-end incident analysis and root-cause diagnosis</x:v>
      </x:c>
    </x:row>
    <x:row r="201" ht="28" customHeight="1">
      <x:c r="A201" s="147" t="str">
        <x:v>5.2.2</x:v>
      </x:c>
      <x:c r="B201" s="301" t="n">
        <x:v>128</x:v>
      </x:c>
      <x:c r="C201" s="133" t="str">
        <x:v>End-to-end incident analysis and root-cause diagnosis</x:v>
      </x:c>
    </x:row>
    <x:row r="202" ht="28" customHeight="1">
      <x:c r="A202" s="147" t="str">
        <x:v>5.2.3</x:v>
      </x:c>
      <x:c r="B202" s="301" t="n">
        <x:v>128</x:v>
      </x:c>
      <x:c r="C202" s="133" t="str">
        <x:v>End-to-end incident analysis and root-cause diagnosis</x:v>
      </x:c>
    </x:row>
    <x:row r="203" ht="28" customHeight="1">
      <x:c r="A203" s="147" t="str">
        <x:v>5.2.4</x:v>
      </x:c>
      <x:c r="B203" s="301" t="n">
        <x:v>128</x:v>
      </x:c>
      <x:c r="C203" s="133" t="str">
        <x:v>End-to-end incident analysis and root-cause diagnosis</x:v>
      </x:c>
    </x:row>
    <x:row r="204" ht="28" customHeight="1">
      <x:c r="A204" s="147" t="str">
        <x:v>5.2.5</x:v>
      </x:c>
      <x:c r="B204" s="301" t="n">
        <x:v>128</x:v>
      </x:c>
      <x:c r="C204" s="133" t="str">
        <x:v>End-to-end incident analysis and root-cause diagnosis</x:v>
      </x:c>
    </x:row>
    <x:row r="205" ht="28" customHeight="1">
      <x:c r="A205" s="147" t="str">
        <x:v>1.1.1</x:v>
      </x:c>
      <x:c r="B205" s="301" t="n">
        <x:v>129</x:v>
      </x:c>
      <x:c r="C205" s="133" t="str">
        <x:v>End-to-end GenAI architecture design</x:v>
      </x:c>
    </x:row>
    <x:row r="206" ht="28" customHeight="1">
      <x:c r="A206" s="147" t="str">
        <x:v>1.1.3</x:v>
      </x:c>
      <x:c r="B206" s="301" t="n">
        <x:v>129</x:v>
      </x:c>
      <x:c r="C206" s="133" t="str">
        <x:v>End-to-end GenAI architecture design</x:v>
      </x:c>
    </x:row>
    <x:row r="207" ht="28" customHeight="1">
      <x:c r="A207" s="147" t="str">
        <x:v>2.3.1</x:v>
      </x:c>
      <x:c r="B207" s="301" t="n">
        <x:v>129</x:v>
      </x:c>
      <x:c r="C207" s="133" t="str">
        <x:v>End-to-end GenAI architecture design</x:v>
      </x:c>
    </x:row>
    <x:row r="208" ht="28" customHeight="1">
      <x:c r="A208" s="147" t="str">
        <x:v>2.3.2</x:v>
      </x:c>
      <x:c r="B208" s="301" t="n">
        <x:v>129</x:v>
      </x:c>
      <x:c r="C208" s="133" t="str">
        <x:v>End-to-end GenAI architecture design</x:v>
      </x:c>
    </x:row>
    <x:row r="209" ht="28" customHeight="1">
      <x:c r="A209" s="147" t="str">
        <x:v>2.3.3</x:v>
      </x:c>
      <x:c r="B209" s="301" t="n">
        <x:v>129</x:v>
      </x:c>
      <x:c r="C209" s="133" t="str">
        <x:v>End-to-end GenAI architecture design</x:v>
      </x:c>
    </x:row>
    <x:row r="210" ht="28" customHeight="1">
      <x:c r="A210" s="147" t="str">
        <x:v>2.3.4</x:v>
      </x:c>
      <x:c r="B210" s="301" t="n">
        <x:v>129</x:v>
      </x:c>
      <x:c r="C210" s="133" t="str">
        <x:v>End-to-end GenAI architecture design</x:v>
      </x:c>
    </x:row>
    <x:row r="211" ht="28" customHeight="1">
      <x:c r="A211" s="147" t="str">
        <x:v>2.3.5</x:v>
      </x:c>
      <x:c r="B211" s="301" t="n">
        <x:v>129</x:v>
      </x:c>
      <x:c r="C211" s="133" t="str">
        <x:v>End-to-end GenAI architecture design</x:v>
      </x:c>
    </x:row>
    <x:row r="212" ht="28" customHeight="1">
      <x:c r="A212" s="147" t="str">
        <x:v>1.1.1</x:v>
      </x:c>
      <x:c r="B212" s="301" t="n">
        <x:v>130</x:v>
      </x:c>
      <x:c r="C212" s="133" t="str">
        <x:v>Business, technical, security, cost, and governance trade-off analysis</x:v>
      </x:c>
    </x:row>
    <x:row r="213" ht="28" customHeight="1">
      <x:c r="A213" s="147" t="str">
        <x:v>1.2.1</x:v>
      </x:c>
      <x:c r="B213" s="301" t="n">
        <x:v>130</x:v>
      </x:c>
      <x:c r="C213" s="133" t="str">
        <x:v>Business, technical, security, cost, and governance trade-off analysis</x:v>
      </x:c>
    </x:row>
    <x:row r="214" ht="28" customHeight="1">
      <x:c r="A214" s="147" t="str">
        <x:v>2.2.3</x:v>
      </x:c>
      <x:c r="B214" s="301" t="n">
        <x:v>130</x:v>
      </x:c>
      <x:c r="C214" s="133" t="str">
        <x:v>Business, technical, security, cost, and governance trade-off analysis</x:v>
      </x:c>
    </x:row>
    <x:row r="215" ht="28" customHeight="1">
      <x:c r="A215" s="147" t="str">
        <x:v>3.3.3</x:v>
      </x:c>
      <x:c r="B215" s="301" t="n">
        <x:v>130</x:v>
      </x:c>
      <x:c r="C215" s="133" t="str">
        <x:v>Business, technical, security, cost, and governance trade-off analysis</x:v>
      </x:c>
    </x:row>
    <x:row r="216" ht="28" customHeight="1">
      <x:c r="A216" s="147" t="str">
        <x:v>4.1.2</x:v>
      </x:c>
      <x:c r="B216" s="301" t="n">
        <x:v>130</x:v>
      </x:c>
      <x:c r="C216" s="133" t="str">
        <x:v>Business, technical, security, cost, and governance trade-off analysis</x:v>
      </x:c>
    </x:row>
    <x:row r="217" ht="28" customHeight="1">
      <x:c r="A217" s="147" t="str">
        <x:v>4.2.1</x:v>
      </x:c>
      <x:c r="B217" s="301" t="n">
        <x:v>130</x:v>
      </x:c>
      <x:c r="C217" s="133" t="str">
        <x:v>Business, technical, security, cost, and governance trade-off analysis</x:v>
      </x:c>
    </x:row>
    <x:row r="218" ht="28" customHeight="1">
      <x:c r="A218" s="147" t="str">
        <x:v>1.1.1</x:v>
      </x:c>
      <x:c r="B218" s="301" t="n">
        <x:v>131</x:v>
      </x:c>
      <x:c r="C218" s="133" t="str">
        <x:v>Architecture decision records and alternative evaluation</x:v>
      </x:c>
    </x:row>
    <x:row r="219" ht="28" customHeight="1">
      <x:c r="A219" s="147" t="str">
        <x:v>1.1.3</x:v>
      </x:c>
      <x:c r="B219" s="301" t="n">
        <x:v>131</x:v>
      </x:c>
      <x:c r="C219" s="133" t="str">
        <x:v>Architecture decision records and alternative evaluation</x:v>
      </x:c>
    </x:row>
    <x:row r="220" ht="28" customHeight="1">
      <x:c r="A220" s="147" t="str">
        <x:v>1.1.2</x:v>
      </x:c>
      <x:c r="B220" s="301" t="n">
        <x:v>132</x:v>
      </x:c>
      <x:c r="C220" s="133" t="str">
        <x:v>Production-readiness review</x:v>
      </x:c>
    </x:row>
    <x:row r="221" ht="28" customHeight="1">
      <x:c r="A221" s="147" t="str">
        <x:v>1.1.3</x:v>
      </x:c>
      <x:c r="B221" s="301" t="n">
        <x:v>132</x:v>
      </x:c>
      <x:c r="C221" s="133" t="str">
        <x:v>Production-readiness review</x:v>
      </x:c>
    </x:row>
    <x:row r="222" ht="28" customHeight="1">
      <x:c r="A222" s="147" t="str">
        <x:v>2.3.5</x:v>
      </x:c>
      <x:c r="B222" s="301" t="n">
        <x:v>132</x:v>
      </x:c>
      <x:c r="C222" s="133" t="str">
        <x:v>Production-readiness review</x:v>
      </x:c>
    </x:row>
    <x:row r="223" ht="28" customHeight="1">
      <x:c r="A223" s="147" t="str">
        <x:v>3.3.4</x:v>
      </x:c>
      <x:c r="B223" s="301" t="n">
        <x:v>132</x:v>
      </x:c>
      <x:c r="C223" s="133" t="str">
        <x:v>Production-readiness review</x:v>
      </x:c>
    </x:row>
    <x:row r="224" ht="28" customHeight="1">
      <x:c r="A224" s="147" t="str">
        <x:v>4.3.1</x:v>
      </x:c>
      <x:c r="B224" s="301" t="n">
        <x:v>132</x:v>
      </x:c>
      <x:c r="C224" s="133" t="str">
        <x:v>Production-readiness review</x:v>
      </x:c>
    </x:row>
    <x:row r="225" ht="28" customHeight="1">
      <x:c r="A225" s="147" t="str">
        <x:v>4.3.2</x:v>
      </x:c>
      <x:c r="B225" s="301" t="n">
        <x:v>132</x:v>
      </x:c>
      <x:c r="C225" s="133" t="str">
        <x:v>Production-readiness review</x:v>
      </x:c>
    </x:row>
    <x:row r="226" ht="28" customHeight="1">
      <x:c r="A226" s="147" t="str">
        <x:v>4.3.3</x:v>
      </x:c>
      <x:c r="B226" s="301" t="n">
        <x:v>132</x:v>
      </x:c>
      <x:c r="C226" s="133" t="str">
        <x:v>Production-readiness review</x:v>
      </x:c>
    </x:row>
    <x:row r="227" ht="28" customHeight="1">
      <x:c r="A227" s="147" t="str">
        <x:v>4.3.4</x:v>
      </x:c>
      <x:c r="B227" s="301" t="n">
        <x:v>132</x:v>
      </x:c>
      <x:c r="C227" s="133" t="str">
        <x:v>Production-readiness review</x:v>
      </x:c>
    </x:row>
    <x:row r="228" ht="28" customHeight="1">
      <x:c r="A228" s="147" t="str">
        <x:v>4.3.5</x:v>
      </x:c>
      <x:c r="B228" s="301" t="n">
        <x:v>132</x:v>
      </x:c>
      <x:c r="C228" s="133" t="str">
        <x:v>Production-readiness review</x:v>
      </x:c>
    </x:row>
    <x:row r="229" ht="28" customHeight="1">
      <x:c r="A229" s="147" t="str">
        <x:v>4.3.6</x:v>
      </x:c>
      <x:c r="B229" s="301" t="n">
        <x:v>132</x:v>
      </x:c>
      <x:c r="C229" s="133" t="str">
        <x:v>Production-readiness review</x:v>
      </x:c>
    </x:row>
    <x:row r="230" ht="28" customHeight="1">
      <x:c r="A230" s="148" t="str">
        <x:v>5.1.9</x:v>
      </x:c>
      <x:c r="B230" s="302" t="n">
        <x:v>132</x:v>
      </x:c>
      <x:c r="C230" s="136" t="str">
        <x:v>Production-readiness review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d9f11aaf8eb47c0"/>
  </x:tableParts>
</x:worksheet>
</file>