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a41bdce92042eb" /></Relationships>
</file>

<file path=xl/workbook.xml><?xml version="1.0" encoding="utf-8"?>
<x:workbook xmlns:x="http://schemas.openxmlformats.org/spreadsheetml/2006/main">
  <x:sheets>
    <x:sheet xmlns:r="http://schemas.openxmlformats.org/officeDocument/2006/relationships" name="Answer Key &amp; Rubrics" sheetId="1" r:id="Rd47718b130d945c3"/>
    <x:sheet xmlns:r="http://schemas.openxmlformats.org/officeDocument/2006/relationships" name="Entry Interpretation" sheetId="2" r:id="R49a25ff5dd3341eb"/>
    <x:sheet xmlns:r="http://schemas.openxmlformats.org/officeDocument/2006/relationships" name="Learning Plan" sheetId="3" r:id="R276134c1c043427d"/>
    <x:sheet xmlns:r="http://schemas.openxmlformats.org/officeDocument/2006/relationships" name="Topic Mastery Checks" sheetId="4" r:id="R47c4a46cc8bb42bc"/>
    <x:sheet xmlns:r="http://schemas.openxmlformats.org/officeDocument/2006/relationships" name="Practical Exercises" sheetId="5" r:id="R46b31df8904e4f53"/>
    <x:sheet xmlns:r="http://schemas.openxmlformats.org/officeDocument/2006/relationships" name="Exit Assessment" sheetId="6" r:id="R3431fe8b757d4be1"/>
    <x:sheet xmlns:r="http://schemas.openxmlformats.org/officeDocument/2006/relationships" name="Remediation" sheetId="7" r:id="Rf5badefaa16f4c58"/>
    <x:sheet xmlns:r="http://schemas.openxmlformats.org/officeDocument/2006/relationships" name="Progression Decision" sheetId="8" r:id="R2ea7d01e93f64947"/>
    <x:sheet xmlns:r="http://schemas.openxmlformats.org/officeDocument/2006/relationships" name="Start Here" sheetId="9" r:id="Rdfe610d630f94cfc"/>
    <x:sheet xmlns:r="http://schemas.openxmlformats.org/officeDocument/2006/relationships" name="Sources" sheetId="10" r:id="R1f03a941d5db4f9f"/>
    <x:sheet xmlns:r="http://schemas.openxmlformats.org/officeDocument/2006/relationships" name="00 OPEN FIRST" sheetId="11" r:id="Rb601834e696f465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1">
    <x:font>
      <x:sz val="11"/>
      <x:name val="Carlito"/>
    </x:font>
    <x:font>
      <x:b/>
      <x:sz val="16"/>
      <x:color rgb="FFFFFF"/>
      <x:name val="Carlito"/>
    </x:font>
    <x:font>
      <x:i/>
      <x:sz val="11"/>
      <x:color rgb="17365D"/>
      <x:name val="Carlito"/>
    </x:font>
    <x:font>
      <x:b/>
      <x:sz val="11"/>
      <x:color rgb="FFFFFF"/>
      <x:name val="Carlito"/>
    </x:font>
    <x:font>
      <x:b/>
      <x:sz val="16"/>
      <x:color rgb="7F6000"/>
      <x:name val="Carlito"/>
    </x:font>
    <x:font>
      <x:b/>
      <x:sz val="9"/>
      <x:color rgb="17365D"/>
      <x:name val="Carlito"/>
    </x:font>
    <x:font>
      <x:b/>
      <x:sz val="16"/>
      <x:color rgb="17365D"/>
      <x:name val="Carlito"/>
    </x:font>
    <x:font>
      <x:b/>
      <x:sz val="11"/>
      <x:color rgb="7F6000"/>
      <x:name val="Carlito"/>
    </x:font>
    <x:font>
      <x:sz val="11"/>
      <x:color rgb="595959"/>
      <x:name val="Carlito"/>
    </x:font>
    <x:font>
      <x:b/>
      <x:sz val="13"/>
      <x:color rgb="17365D"/>
      <x:name val="Carlito"/>
    </x:font>
    <x:font>
      <x:b/>
      <x:sz val="12"/>
      <x:color rgb="7F6000"/>
      <x:name val="Carlito"/>
    </x:font>
  </x:fonts>
  <x:fills count="7">
    <x:fill>
      <x:patternFill patternType="none"/>
    </x:fill>
    <x:fill>
      <x:patternFill patternType="gray125"/>
    </x:fill>
    <x:fill>
      <x:patternFill patternType="solid">
        <x:fgColor rgb="17365D"/>
      </x:patternFill>
    </x:fill>
    <x:fill>
      <x:patternFill patternType="solid">
        <x:fgColor rgb="D9EAF7"/>
      </x:patternFill>
    </x:fill>
    <x:fill>
      <x:patternFill patternType="solid">
        <x:fgColor rgb="1F4E78"/>
      </x:patternFill>
    </x:fill>
    <x:fill>
      <x:patternFill patternType="solid">
        <x:fgColor rgb="FFF2CC"/>
      </x:patternFill>
    </x:fill>
    <x:fill>
      <x:patternFill patternType="solid">
        <x:fgColor rgb="EAF3F8"/>
      </x:patternFill>
    </x:fill>
  </x:fills>
  <x:borders count="27">
    <x:border/>
    <x:border/>
    <x:border>
      <x:left>
        <x:color rgb="C9D3DC"/>
      </x:left>
      <x:right>
        <x:color rgb="E7E6E6"/>
      </x:right>
      <x:top>
        <x:color rgb="C9D3DC"/>
      </x:top>
      <x:bottom>
        <x:color rgb="E7E6E6"/>
      </x:bottom>
    </x:border>
    <x:border>
      <x:left>
        <x:color rgb="E7E6E6"/>
      </x:left>
      <x:right>
        <x:color rgb="E7E6E6"/>
      </x:right>
      <x:top>
        <x:color rgb="C9D3DC"/>
      </x:top>
      <x:bottom>
        <x:color rgb="E7E6E6"/>
      </x:bottom>
    </x:border>
    <x:border>
      <x:left>
        <x:color rgb="E7E6E6"/>
      </x:left>
      <x:right>
        <x:color rgb="C9D3DC"/>
      </x:right>
      <x:top>
        <x:color rgb="C9D3DC"/>
      </x:top>
      <x:bottom>
        <x:color rgb="E7E6E6"/>
      </x:bottom>
    </x:border>
    <x:border>
      <x:left>
        <x:color rgb="C9D3DC"/>
      </x:left>
      <x:right>
        <x:color rgb="E7E6E6"/>
      </x:right>
      <x:top>
        <x:color rgb="E7E6E6"/>
      </x:top>
      <x:bottom>
        <x:color rgb="E7E6E6"/>
      </x:bottom>
    </x:border>
    <x:border>
      <x:left>
        <x:color rgb="E7E6E6"/>
      </x:left>
      <x:right>
        <x:color rgb="E7E6E6"/>
      </x:right>
      <x:top>
        <x:color rgb="E7E6E6"/>
      </x:top>
      <x:bottom>
        <x:color rgb="E7E6E6"/>
      </x:bottom>
    </x:border>
    <x:border>
      <x:left>
        <x:color rgb="E7E6E6"/>
      </x:left>
      <x:right>
        <x:color rgb="C9D3DC"/>
      </x:right>
      <x:top>
        <x:color rgb="E7E6E6"/>
      </x:top>
      <x:bottom>
        <x:color rgb="E7E6E6"/>
      </x:bottom>
    </x:border>
    <x:border>
      <x:left>
        <x:color rgb="C9D3DC"/>
      </x:left>
      <x:right>
        <x:color rgb="E7E6E6"/>
      </x:right>
      <x:top>
        <x:color rgb="E7E6E6"/>
      </x:top>
      <x:bottom>
        <x:color rgb="C9D3DC"/>
      </x:bottom>
    </x:border>
    <x:border>
      <x:left>
        <x:color rgb="E7E6E6"/>
      </x:left>
      <x:right>
        <x:color rgb="E7E6E6"/>
      </x:right>
      <x:top>
        <x:color rgb="E7E6E6"/>
      </x:top>
      <x:bottom>
        <x:color rgb="C9D3DC"/>
      </x:bottom>
    </x:border>
    <x:border>
      <x:left>
        <x:color rgb="E7E6E6"/>
      </x:left>
      <x:right>
        <x:color rgb="C9D3DC"/>
      </x:right>
      <x:top>
        <x:color rgb="E7E6E6"/>
      </x:top>
      <x:bottom>
        <x:color rgb="C9D3DC"/>
      </x:bottom>
    </x:border>
    <x:border>
      <x:left>
        <x:color rgb="C9D3DC"/>
      </x:left>
      <x:right>
        <x:color rgb="E7E6E6"/>
      </x:right>
      <x:top>
        <x:color rgb="C9D3DC"/>
      </x:top>
      <x:bottom>
        <x:color rgb="E7E6E6"/>
      </x:bottom>
    </x:border>
    <x:border>
      <x:left>
        <x:color rgb="E7E6E6"/>
      </x:left>
      <x:right>
        <x:color rgb="E7E6E6"/>
      </x:right>
      <x:top>
        <x:color rgb="C9D3DC"/>
      </x:top>
      <x:bottom>
        <x:color rgb="E7E6E6"/>
      </x:bottom>
    </x:border>
    <x:border>
      <x:left>
        <x:color rgb="E7E6E6"/>
      </x:left>
      <x:right>
        <x:color rgb="C9D3DC"/>
      </x:right>
      <x:top>
        <x:color rgb="C9D3DC"/>
      </x:top>
      <x:bottom>
        <x:color rgb="E7E6E6"/>
      </x:bottom>
    </x:border>
    <x:border>
      <x:left>
        <x:color rgb="C9D3DC"/>
      </x:left>
      <x:right>
        <x:color rgb="E7E6E6"/>
      </x:right>
      <x:top>
        <x:color rgb="E7E6E6"/>
      </x:top>
      <x:bottom>
        <x:color rgb="E7E6E6"/>
      </x:bottom>
    </x:border>
    <x:border>
      <x:left>
        <x:color rgb="E7E6E6"/>
      </x:left>
      <x:right>
        <x:color rgb="E7E6E6"/>
      </x:right>
      <x:top>
        <x:color rgb="E7E6E6"/>
      </x:top>
      <x:bottom>
        <x:color rgb="E7E6E6"/>
      </x:bottom>
    </x:border>
    <x:border>
      <x:left>
        <x:color rgb="E7E6E6"/>
      </x:left>
      <x:right>
        <x:color rgb="C9D3DC"/>
      </x:right>
      <x:top>
        <x:color rgb="E7E6E6"/>
      </x:top>
      <x:bottom>
        <x:color rgb="E7E6E6"/>
      </x:bottom>
    </x:border>
    <x:border>
      <x:left>
        <x:color rgb="C9D3DC"/>
      </x:left>
      <x:right>
        <x:color rgb="E7E6E6"/>
      </x:right>
      <x:top>
        <x:color rgb="E7E6E6"/>
      </x:top>
      <x:bottom>
        <x:color rgb="C9D3DC"/>
      </x:bottom>
    </x:border>
    <x:border>
      <x:left>
        <x:color rgb="E7E6E6"/>
      </x:left>
      <x:right>
        <x:color rgb="E7E6E6"/>
      </x:right>
      <x:top>
        <x:color rgb="E7E6E6"/>
      </x:top>
      <x:bottom>
        <x:color rgb="C9D3DC"/>
      </x:bottom>
    </x:border>
    <x:border>
      <x:left>
        <x:color rgb="E7E6E6"/>
      </x:left>
      <x:right>
        <x:color rgb="C9D3DC"/>
      </x:right>
      <x:top>
        <x:color rgb="E7E6E6"/>
      </x:top>
      <x:bottom>
        <x:color rgb="C9D3DC"/>
      </x:bottom>
    </x:border>
    <x:border>
      <x:left>
        <x:color rgb="C9D3DC"/>
      </x:left>
      <x:right>
        <x:color rgb="E7E6E6"/>
      </x:right>
      <x:top>
        <x:color rgb="C9D3DC"/>
      </x:top>
      <x:bottom>
        <x:color rgb="C9D3DC"/>
      </x:bottom>
    </x:border>
    <x:border>
      <x:left>
        <x:color rgb="E7E6E6"/>
      </x:left>
      <x:right>
        <x:color rgb="C9D3DC"/>
      </x:right>
      <x:top>
        <x:color rgb="C9D3DC"/>
      </x:top>
      <x:bottom>
        <x:color rgb="C9D3DC"/>
      </x:bottom>
    </x:border>
    <x:border>
      <x:left>
        <x:color rgb="C9D3DC"/>
      </x:left>
      <x:right>
        <x:color rgb="E7E6E6"/>
      </x:right>
      <x:top>
        <x:color rgb="C9D3DC"/>
      </x:top>
      <x:bottom>
        <x:color rgb="C9D3DC"/>
      </x:bottom>
    </x:border>
    <x:border>
      <x:left>
        <x:color rgb="E7E6E6"/>
      </x:left>
      <x:right>
        <x:color rgb="C9D3DC"/>
      </x:right>
      <x:top>
        <x:color rgb="C9D3DC"/>
      </x:top>
      <x:bottom>
        <x:color rgb="C9D3DC"/>
      </x:bottom>
    </x:border>
    <x:border>
      <x:left>
        <x:color rgb="C9D3DC"/>
      </x:left>
      <x:right>
        <x:color rgb="C9D3DC"/>
      </x:right>
      <x:top>
        <x:color rgb="C9D3DC"/>
      </x:top>
      <x:bottom>
        <x:color rgb="E7E6E6"/>
      </x:bottom>
    </x:border>
    <x:border>
      <x:left>
        <x:color rgb="C9D3DC"/>
      </x:left>
      <x:right>
        <x:color rgb="C9D3DC"/>
      </x:right>
      <x:top>
        <x:color rgb="E7E6E6"/>
      </x:top>
      <x:bottom>
        <x:color rgb="E7E6E6"/>
      </x:bottom>
    </x:border>
    <x:border>
      <x:left>
        <x:color rgb="C9D3DC"/>
      </x:left>
      <x:right>
        <x:color rgb="C9D3DC"/>
      </x:right>
      <x:top>
        <x:color rgb="E7E6E6"/>
      </x:top>
      <x:bottom>
        <x:color rgb="C9D3DC"/>
      </x:bottom>
    </x:border>
  </x:borders>
  <x:cellStyleXfs count="1">
    <x:xf numFmtId="0" fontId="0" fillId="0" borderId="0"/>
  </x:cellStyleXfs>
  <x:cellXfs count="5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2"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5"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8" xfId="0" applyNumberFormat="1" applyFont="1" applyFill="1" applyBorder="1" applyAlignment="1">
      <x:alignment horizontal="center" vertical="top" wrapText="1"/>
    </x:xf>
    <x:xf numFmtId="0" fontId="0" fillId="5" borderId="3"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5" borderId="3" xfId="0" applyNumberFormat="1" applyFont="1" applyFill="1" applyBorder="1" applyAlignment="1">
      <x:alignment vertical="top" wrapText="1"/>
    </x:xf>
    <x:xf numFmtId="200" fontId="0" fillId="5" borderId="6" xfId="0" applyNumberFormat="1" applyFont="1" applyFill="1" applyBorder="1" applyAlignment="1">
      <x:alignment vertical="top" wrapText="1"/>
    </x:xf>
    <x:xf numFmtId="200" fontId="0" fillId="5" borderId="9"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200" fontId="0" fillId="5" borderId="15" xfId="0" applyNumberFormat="1" applyFont="1" applyFill="1" applyBorder="1" applyAlignment="1">
      <x:alignment vertical="top" wrapText="1"/>
    </x:xf>
    <x:xf numFmtId="200" fontId="0" fillId="5" borderId="18"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4" xfId="0" applyNumberFormat="1" applyFont="1" applyFill="1" applyBorder="1" applyAlignment="1">
      <x:alignment horizontal="center"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7" xfId="0" applyNumberFormat="1" applyFont="1" applyFill="1" applyBorder="1" applyAlignment="1">
      <x:alignment horizontal="center" wrapText="1"/>
    </x:xf>
    <x:xf numFmtId="0" fontId="4" fillId="5" borderId="8" xfId="0" applyNumberFormat="1" applyFont="1" applyFill="1" applyBorder="1" applyAlignment="1">
      <x:alignment horizontal="center" wrapText="1"/>
    </x:xf>
    <x:xf numFmtId="0" fontId="4" fillId="5" borderId="9" xfId="0" applyNumberFormat="1" applyFont="1" applyFill="1" applyBorder="1" applyAlignment="1">
      <x:alignment horizontal="center" wrapText="1"/>
    </x:xf>
    <x:xf numFmtId="0" fontId="4" fillId="5" borderId="10"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4" fillId="5" borderId="4"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4" fillId="5" borderId="7" xfId="0" applyNumberFormat="1" applyFont="1" applyFill="1" applyBorder="1" applyAlignment="1">
      <x:alignment horizontal="center" vertical="center" wrapText="1"/>
    </x:xf>
    <x:xf numFmtId="0" fontId="4" fillId="5" borderId="8" xfId="0" applyNumberFormat="1" applyFont="1" applyFill="1" applyBorder="1" applyAlignment="1">
      <x:alignment horizontal="center" vertical="center" wrapText="1"/>
    </x:xf>
    <x:xf numFmtId="0" fontId="4" fillId="5" borderId="9" xfId="0" applyNumberFormat="1" applyFont="1" applyFill="1" applyBorder="1" applyAlignment="1">
      <x:alignment horizontal="center" vertical="center" wrapText="1"/>
    </x:xf>
    <x:xf numFmtId="0" fontId="4" fillId="5" borderId="1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11" xfId="0" applyNumberFormat="1" applyFont="1" applyFill="1" applyBorder="1" applyAlignment="1">
      <x:alignment horizontal="center" wrapText="1"/>
    </x:xf>
    <x:xf numFmtId="0" fontId="4" fillId="5" borderId="12" xfId="0" applyNumberFormat="1" applyFont="1" applyFill="1" applyBorder="1" applyAlignment="1">
      <x:alignment horizontal="center" wrapText="1"/>
    </x:xf>
    <x:xf numFmtId="0" fontId="4" fillId="5" borderId="13" xfId="0" applyNumberFormat="1" applyFont="1" applyFill="1" applyBorder="1" applyAlignment="1">
      <x:alignment horizontal="center" wrapText="1"/>
    </x:xf>
    <x:xf numFmtId="0" fontId="4" fillId="5" borderId="14" xfId="0" applyNumberFormat="1" applyFont="1" applyFill="1" applyBorder="1" applyAlignment="1">
      <x:alignment horizontal="center" wrapText="1"/>
    </x:xf>
    <x:xf numFmtId="0" fontId="4" fillId="5" borderId="15" xfId="0" applyNumberFormat="1" applyFont="1" applyFill="1" applyBorder="1" applyAlignment="1">
      <x:alignment horizontal="center" wrapText="1"/>
    </x:xf>
    <x:xf numFmtId="0" fontId="4" fillId="5" borderId="16" xfId="0" applyNumberFormat="1" applyFont="1" applyFill="1" applyBorder="1" applyAlignment="1">
      <x:alignment horizontal="center" wrapText="1"/>
    </x:xf>
    <x:xf numFmtId="0" fontId="4" fillId="5" borderId="17" xfId="0" applyNumberFormat="1" applyFont="1" applyFill="1" applyBorder="1" applyAlignment="1">
      <x:alignment horizontal="center" wrapText="1"/>
    </x:xf>
    <x:xf numFmtId="0" fontId="4" fillId="5" borderId="18" xfId="0" applyNumberFormat="1" applyFont="1" applyFill="1" applyBorder="1" applyAlignment="1">
      <x:alignment horizontal="center" wrapText="1"/>
    </x:xf>
    <x:xf numFmtId="0" fontId="4" fillId="5" borderId="19" xfId="0" applyNumberFormat="1" applyFont="1" applyFill="1" applyBorder="1" applyAlignment="1">
      <x:alignment horizontal="center" wrapText="1"/>
    </x:xf>
    <x:xf numFmtId="0" fontId="4" fillId="5" borderId="11" xfId="0" applyNumberFormat="1" applyFont="1" applyFill="1" applyBorder="1" applyAlignment="1">
      <x:alignment horizontal="center" vertical="center" wrapText="1"/>
    </x:xf>
    <x:xf numFmtId="0" fontId="4" fillId="5" borderId="12" xfId="0" applyNumberFormat="1" applyFont="1" applyFill="1" applyBorder="1" applyAlignment="1">
      <x:alignment horizontal="center" vertical="center" wrapText="1"/>
    </x:xf>
    <x:xf numFmtId="0" fontId="4" fillId="5" borderId="13" xfId="0" applyNumberFormat="1" applyFont="1" applyFill="1" applyBorder="1" applyAlignment="1">
      <x:alignment horizontal="center" vertical="center" wrapText="1"/>
    </x:xf>
    <x:xf numFmtId="0" fontId="4" fillId="5" borderId="14" xfId="0" applyNumberFormat="1" applyFont="1" applyFill="1" applyBorder="1" applyAlignment="1">
      <x:alignment horizontal="center" vertical="center" wrapText="1"/>
    </x:xf>
    <x:xf numFmtId="0" fontId="4" fillId="5" borderId="15" xfId="0" applyNumberFormat="1" applyFont="1" applyFill="1" applyBorder="1" applyAlignment="1">
      <x:alignment horizontal="center" vertical="center" wrapText="1"/>
    </x:xf>
    <x:xf numFmtId="0" fontId="4" fillId="5" borderId="16" xfId="0" applyNumberFormat="1" applyFont="1" applyFill="1" applyBorder="1" applyAlignment="1">
      <x:alignment horizontal="center" vertical="center" wrapText="1"/>
    </x:xf>
    <x:xf numFmtId="0" fontId="4" fillId="5" borderId="17" xfId="0" applyNumberFormat="1" applyFont="1" applyFill="1" applyBorder="1" applyAlignment="1">
      <x:alignment horizontal="center" vertical="center" wrapText="1"/>
    </x:xf>
    <x:xf numFmtId="0" fontId="4" fillId="5" borderId="18" xfId="0" applyNumberFormat="1" applyFont="1" applyFill="1" applyBorder="1" applyAlignment="1">
      <x:alignment horizontal="center" vertical="center" wrapText="1"/>
    </x:xf>
    <x:xf numFmtId="0" fontId="4" fillId="5" borderId="19"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20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20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20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200" fontId="0" fillId="0" borderId="18" xfId="0" applyNumberFormat="1" applyFont="1" applyFill="1" applyBorder="1"/>
    <x:xf numFmtId="0" fontId="0" fillId="0" borderId="1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20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20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20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20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20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20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5" borderId="10" xfId="0" applyNumberFormat="1" applyFont="1" applyFill="1" applyBorder="1"/>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6"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7" xfId="0" applyNumberFormat="1" applyFont="1" applyFill="1" applyBorder="1"/>
    <x:xf numFmtId="0" fontId="0" fillId="5" borderId="18" xfId="0" applyNumberFormat="1" applyFont="1" applyFill="1" applyBorder="1"/>
    <x:xf numFmtId="0" fontId="0" fillId="5" borderId="19" xfId="0" applyNumberFormat="1" applyFont="1" applyFill="1" applyBorder="1"/>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7" xfId="0" applyNumberFormat="1" applyFont="1" applyFill="1" applyBorder="1" applyAlignment="1">
      <x:alignment wrapText="1"/>
    </x:xf>
    <x:xf numFmtId="0" fontId="0" fillId="5" borderId="18" xfId="0" applyNumberFormat="1" applyFont="1" applyFill="1" applyBorder="1" applyAlignment="1">
      <x:alignment wrapText="1"/>
    </x:xf>
    <x:xf numFmtId="0" fontId="0" fillId="5" borderId="19" xfId="0" applyNumberFormat="1" applyFont="1" applyFill="1" applyBorder="1" applyAlignment="1">
      <x:alignment wrapText="1"/>
    </x:xf>
    <x:xf numFmtId="201" fontId="0" fillId="5" borderId="3" xfId="0" applyNumberFormat="1" applyFont="1" applyFill="1" applyBorder="1" applyAlignment="1">
      <x:alignment wrapText="1"/>
    </x:xf>
    <x:xf numFmtId="201" fontId="0" fillId="5" borderId="6" xfId="0" applyNumberFormat="1" applyFont="1" applyFill="1" applyBorder="1" applyAlignment="1">
      <x:alignment wrapText="1"/>
    </x:xf>
    <x:xf numFmtId="201" fontId="0" fillId="5" borderId="9" xfId="0" applyNumberFormat="1" applyFont="1" applyFill="1" applyBorder="1" applyAlignment="1">
      <x:alignment wrapText="1"/>
    </x:xf>
    <x:xf numFmtId="201" fontId="0" fillId="5" borderId="12" xfId="0" applyNumberFormat="1" applyFont="1" applyFill="1" applyBorder="1" applyAlignment="1">
      <x:alignment wrapText="1"/>
    </x:xf>
    <x:xf numFmtId="201" fontId="0" fillId="5" borderId="15" xfId="0" applyNumberFormat="1" applyFont="1" applyFill="1" applyBorder="1" applyAlignment="1">
      <x:alignment wrapText="1"/>
    </x:xf>
    <x:xf numFmtId="201" fontId="0" fillId="5" borderId="18" xfId="0" applyNumberFormat="1" applyFont="1" applyFill="1" applyBorder="1" applyAlignment="1">
      <x:alignment wrapText="1"/>
    </x:xf>
    <x:xf numFmtId="0" fontId="5" fillId="3" borderId="0" xfId="0" applyNumberFormat="1" applyFont="1" applyFill="1" applyBorder="1"/>
    <x:xf numFmtId="0" fontId="5" fillId="3" borderId="20" xfId="0" applyNumberFormat="1" applyFont="1" applyFill="1" applyBorder="1"/>
    <x:xf numFmtId="0" fontId="5" fillId="3" borderId="21" xfId="0" applyNumberFormat="1" applyFont="1" applyFill="1" applyBorder="1"/>
    <x:xf numFmtId="0" fontId="5" fillId="3" borderId="20" xfId="0" applyNumberFormat="1" applyFont="1" applyFill="1" applyBorder="1" applyAlignment="1">
      <x:alignment wrapText="1"/>
    </x:xf>
    <x:xf numFmtId="0" fontId="5" fillId="3" borderId="21" xfId="0" applyNumberFormat="1" applyFont="1" applyFill="1" applyBorder="1" applyAlignment="1">
      <x:alignment wrapText="1"/>
    </x:xf>
    <x:xf numFmtId="0" fontId="5" fillId="3" borderId="20" xfId="0" applyNumberFormat="1" applyFont="1" applyFill="1" applyBorder="1" applyAlignment="1">
      <x:alignment horizontal="center" wrapText="1"/>
    </x:xf>
    <x:xf numFmtId="0" fontId="5" fillId="3" borderId="21" xfId="0" applyNumberFormat="1" applyFont="1" applyFill="1" applyBorder="1" applyAlignment="1">
      <x:alignment horizontal="center" wrapText="1"/>
    </x:xf>
    <x:xf numFmtId="0" fontId="5" fillId="3" borderId="20" xfId="0" applyNumberFormat="1" applyFont="1" applyFill="1" applyBorder="1" applyAlignment="1">
      <x:alignment horizontal="center" vertical="center" wrapText="1"/>
    </x:xf>
    <x:xf numFmtId="0" fontId="5" fillId="3" borderId="21" xfId="0" applyNumberFormat="1" applyFont="1" applyFill="1" applyBorder="1" applyAlignment="1">
      <x:alignment horizontal="center" vertical="center" wrapText="1"/>
    </x:xf>
    <x:xf numFmtId="0" fontId="5" fillId="3" borderId="1" xfId="0" applyNumberFormat="1" applyFont="1" applyFill="1" applyBorder="1"/>
    <x:xf numFmtId="0" fontId="5" fillId="3" borderId="22" xfId="0" applyNumberFormat="1" applyFont="1" applyFill="1" applyBorder="1"/>
    <x:xf numFmtId="0" fontId="5" fillId="3" borderId="23" xfId="0" applyNumberFormat="1" applyFont="1" applyFill="1" applyBorder="1"/>
    <x:xf numFmtId="0" fontId="5" fillId="3" borderId="22" xfId="0" applyNumberFormat="1" applyFont="1" applyFill="1" applyBorder="1" applyAlignment="1">
      <x:alignment wrapText="1"/>
    </x:xf>
    <x:xf numFmtId="0" fontId="5" fillId="3" borderId="23" xfId="0" applyNumberFormat="1" applyFont="1" applyFill="1" applyBorder="1" applyAlignment="1">
      <x:alignment wrapText="1"/>
    </x:xf>
    <x:xf numFmtId="0" fontId="5" fillId="3" borderId="22" xfId="0" applyNumberFormat="1" applyFont="1" applyFill="1" applyBorder="1" applyAlignment="1">
      <x:alignment horizontal="center" wrapText="1"/>
    </x:xf>
    <x:xf numFmtId="0" fontId="5" fillId="3" borderId="23" xfId="0" applyNumberFormat="1" applyFont="1" applyFill="1" applyBorder="1" applyAlignment="1">
      <x:alignment horizontal="center" wrapText="1"/>
    </x:xf>
    <x:xf numFmtId="0" fontId="5" fillId="3" borderId="22" xfId="0" applyNumberFormat="1" applyFont="1" applyFill="1" applyBorder="1" applyAlignment="1">
      <x:alignment horizontal="center" vertical="center" wrapText="1"/>
    </x:xf>
    <x:xf numFmtId="0" fontId="5" fillId="3" borderId="23"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4" xfId="0" applyNumberFormat="1" applyFont="1" applyFill="1" applyBorder="1"/>
    <x:xf numFmtId="0" fontId="6" fillId="6" borderId="5" xfId="0" applyNumberFormat="1" applyFont="1" applyFill="1" applyBorder="1"/>
    <x:xf numFmtId="0" fontId="6" fillId="6" borderId="7" xfId="0" applyNumberFormat="1" applyFont="1" applyFill="1" applyBorder="1"/>
    <x:xf numFmtId="0" fontId="6" fillId="6" borderId="8" xfId="0" applyNumberFormat="1" applyFont="1" applyFill="1" applyBorder="1"/>
    <x:xf numFmtId="0" fontId="6" fillId="6" borderId="10" xfId="0" applyNumberFormat="1" applyFont="1" applyFill="1" applyBorder="1"/>
    <x:xf numFmtId="0" fontId="6" fillId="6" borderId="2" xfId="0" applyNumberFormat="1" applyFont="1" applyFill="1" applyBorder="1" applyAlignment="1">
      <x:alignment wrapText="1"/>
    </x:xf>
    <x:xf numFmtId="0" fontId="6" fillId="6" borderId="4" xfId="0" applyNumberFormat="1" applyFont="1" applyFill="1" applyBorder="1" applyAlignment="1">
      <x:alignment wrapText="1"/>
    </x:xf>
    <x:xf numFmtId="0" fontId="6" fillId="6" borderId="5" xfId="0" applyNumberFormat="1" applyFont="1" applyFill="1" applyBorder="1" applyAlignment="1">
      <x:alignment wrapText="1"/>
    </x:xf>
    <x:xf numFmtId="0" fontId="6" fillId="6" borderId="7" xfId="0" applyNumberFormat="1" applyFont="1" applyFill="1" applyBorder="1" applyAlignment="1">
      <x:alignment wrapText="1"/>
    </x:xf>
    <x:xf numFmtId="0" fontId="6" fillId="6" borderId="8"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2" xfId="0" applyNumberFormat="1" applyFont="1" applyFill="1" applyBorder="1" applyAlignment="1">
      <x:alignment horizontal="center" wrapText="1"/>
    </x:xf>
    <x:xf numFmtId="0" fontId="6" fillId="6" borderId="4" xfId="0" applyNumberFormat="1" applyFont="1" applyFill="1" applyBorder="1" applyAlignment="1">
      <x:alignment horizontal="center" wrapText="1"/>
    </x:xf>
    <x:xf numFmtId="0" fontId="6" fillId="6" borderId="5" xfId="0" applyNumberFormat="1" applyFont="1" applyFill="1" applyBorder="1" applyAlignment="1">
      <x:alignment horizontal="center" wrapText="1"/>
    </x:xf>
    <x:xf numFmtId="0" fontId="6" fillId="6" borderId="7" xfId="0" applyNumberFormat="1" applyFont="1" applyFill="1" applyBorder="1" applyAlignment="1">
      <x:alignment horizontal="center" wrapText="1"/>
    </x:xf>
    <x:xf numFmtId="0" fontId="6" fillId="6" borderId="8" xfId="0" applyNumberFormat="1" applyFont="1" applyFill="1" applyBorder="1" applyAlignment="1">
      <x:alignment horizontal="center" wrapText="1"/>
    </x:xf>
    <x:xf numFmtId="0" fontId="6" fillId="6" borderId="10" xfId="0" applyNumberFormat="1" applyFont="1" applyFill="1" applyBorder="1" applyAlignment="1">
      <x:alignment horizontal="center" wrapText="1"/>
    </x:xf>
    <x:xf numFmtId="0" fontId="6" fillId="6" borderId="2" xfId="0" applyNumberFormat="1" applyFont="1" applyFill="1" applyBorder="1" applyAlignment="1">
      <x:alignment horizontal="center" vertical="center" wrapText="1"/>
    </x:xf>
    <x:xf numFmtId="0" fontId="6" fillId="6" borderId="4" xfId="0" applyNumberFormat="1" applyFont="1" applyFill="1" applyBorder="1" applyAlignment="1">
      <x:alignment horizontal="center" vertical="center" wrapText="1"/>
    </x:xf>
    <x:xf numFmtId="0" fontId="6" fillId="6" borderId="5" xfId="0" applyNumberFormat="1" applyFont="1" applyFill="1" applyBorder="1" applyAlignment="1">
      <x:alignment horizontal="center" vertical="center" wrapText="1"/>
    </x:xf>
    <x:xf numFmtId="0" fontId="6" fillId="6" borderId="7" xfId="0" applyNumberFormat="1" applyFont="1" applyFill="1" applyBorder="1" applyAlignment="1">
      <x:alignment horizontal="center" vertical="center" wrapText="1"/>
    </x:xf>
    <x:xf numFmtId="0" fontId="6" fillId="6" borderId="8" xfId="0" applyNumberFormat="1" applyFont="1" applyFill="1" applyBorder="1" applyAlignment="1">
      <x:alignment horizontal="center" vertical="center" wrapText="1"/>
    </x:xf>
    <x:xf numFmtId="0" fontId="6" fillId="6" borderId="10" xfId="0" applyNumberFormat="1" applyFont="1" applyFill="1" applyBorder="1" applyAlignment="1">
      <x:alignment horizontal="center" vertical="center" wrapText="1"/>
    </x:xf>
    <x:xf numFmtId="0" fontId="0" fillId="6" borderId="1" xfId="0" applyNumberFormat="1" applyFont="1" applyFill="1" applyBorder="1"/>
    <x:xf numFmtId="0" fontId="6" fillId="6" borderId="1" xfId="0" applyNumberFormat="1" applyFont="1" applyFill="1" applyBorder="1"/>
    <x:xf numFmtId="0" fontId="6" fillId="6" borderId="11" xfId="0" applyNumberFormat="1" applyFont="1" applyFill="1" applyBorder="1"/>
    <x:xf numFmtId="0" fontId="6" fillId="6" borderId="13" xfId="0" applyNumberFormat="1" applyFont="1" applyFill="1" applyBorder="1"/>
    <x:xf numFmtId="0" fontId="6" fillId="6" borderId="14" xfId="0" applyNumberFormat="1" applyFont="1" applyFill="1" applyBorder="1"/>
    <x:xf numFmtId="0" fontId="6" fillId="6" borderId="16" xfId="0" applyNumberFormat="1" applyFont="1" applyFill="1" applyBorder="1"/>
    <x:xf numFmtId="0" fontId="6" fillId="6" borderId="17" xfId="0" applyNumberFormat="1" applyFont="1" applyFill="1" applyBorder="1"/>
    <x:xf numFmtId="0" fontId="6" fillId="6" borderId="19" xfId="0" applyNumberFormat="1" applyFont="1" applyFill="1" applyBorder="1"/>
    <x:xf numFmtId="0" fontId="6" fillId="6" borderId="11" xfId="0" applyNumberFormat="1" applyFont="1" applyFill="1" applyBorder="1" applyAlignment="1">
      <x:alignment wrapText="1"/>
    </x:xf>
    <x:xf numFmtId="0" fontId="6" fillId="6" borderId="13"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16"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19" xfId="0" applyNumberFormat="1" applyFont="1" applyFill="1" applyBorder="1" applyAlignment="1">
      <x:alignment wrapText="1"/>
    </x:xf>
    <x:xf numFmtId="0" fontId="6" fillId="6" borderId="11" xfId="0" applyNumberFormat="1" applyFont="1" applyFill="1" applyBorder="1" applyAlignment="1">
      <x:alignment horizontal="center" wrapText="1"/>
    </x:xf>
    <x:xf numFmtId="0" fontId="6" fillId="6" borderId="13" xfId="0" applyNumberFormat="1" applyFont="1" applyFill="1" applyBorder="1" applyAlignment="1">
      <x:alignment horizontal="center" wrapText="1"/>
    </x:xf>
    <x:xf numFmtId="0" fontId="6" fillId="6" borderId="14" xfId="0" applyNumberFormat="1" applyFont="1" applyFill="1" applyBorder="1" applyAlignment="1">
      <x:alignment horizontal="center" wrapText="1"/>
    </x:xf>
    <x:xf numFmtId="0" fontId="6" fillId="6" borderId="16" xfId="0" applyNumberFormat="1" applyFont="1" applyFill="1" applyBorder="1" applyAlignment="1">
      <x:alignment horizontal="center" wrapText="1"/>
    </x:xf>
    <x:xf numFmtId="0" fontId="6" fillId="6" borderId="17" xfId="0" applyNumberFormat="1" applyFont="1" applyFill="1" applyBorder="1" applyAlignment="1">
      <x:alignment horizontal="center" wrapText="1"/>
    </x:xf>
    <x:xf numFmtId="0" fontId="6" fillId="6" borderId="19" xfId="0" applyNumberFormat="1" applyFont="1" applyFill="1" applyBorder="1" applyAlignment="1">
      <x:alignment horizontal="center" wrapText="1"/>
    </x:xf>
    <x:xf numFmtId="0" fontId="6" fillId="6" borderId="11" xfId="0" applyNumberFormat="1" applyFont="1" applyFill="1" applyBorder="1" applyAlignment="1">
      <x:alignment horizontal="center" vertical="center" wrapText="1"/>
    </x:xf>
    <x:xf numFmtId="0" fontId="6" fillId="6" borderId="13" xfId="0" applyNumberFormat="1" applyFont="1" applyFill="1" applyBorder="1" applyAlignment="1">
      <x:alignment horizontal="center" vertical="center" wrapText="1"/>
    </x:xf>
    <x:xf numFmtId="0" fontId="6" fillId="6" borderId="14" xfId="0" applyNumberFormat="1" applyFont="1" applyFill="1" applyBorder="1" applyAlignment="1">
      <x:alignment horizontal="center" vertical="center" wrapText="1"/>
    </x:xf>
    <x:xf numFmtId="0" fontId="6" fillId="6" borderId="16" xfId="0" applyNumberFormat="1" applyFont="1" applyFill="1" applyBorder="1" applyAlignment="1">
      <x:alignment horizontal="center" vertical="center" wrapText="1"/>
    </x:xf>
    <x:xf numFmtId="0" fontId="6" fillId="6" borderId="17" xfId="0" applyNumberFormat="1" applyFont="1" applyFill="1" applyBorder="1" applyAlignment="1">
      <x:alignment horizontal="center" vertical="center" wrapText="1"/>
    </x:xf>
    <x:xf numFmtId="0" fontId="6" fillId="6" borderId="19" xfId="0" applyNumberFormat="1" applyFont="1" applyFill="1" applyBorder="1" applyAlignment="1">
      <x:alignment horizontal="center" vertical="center" wrapText="1"/>
    </x:xf>
    <x:xf numFmtId="200" fontId="6" fillId="6" borderId="2" xfId="0" applyNumberFormat="1" applyFont="1" applyFill="1" applyBorder="1" applyAlignment="1">
      <x:alignment horizontal="center" vertical="center" wrapText="1"/>
    </x:xf>
    <x:xf numFmtId="200" fontId="6" fillId="6" borderId="4" xfId="0" applyNumberFormat="1" applyFont="1" applyFill="1" applyBorder="1" applyAlignment="1">
      <x:alignment horizontal="center" vertical="center" wrapText="1"/>
    </x:xf>
    <x:xf numFmtId="200" fontId="6" fillId="6" borderId="5" xfId="0" applyNumberFormat="1" applyFont="1" applyFill="1" applyBorder="1" applyAlignment="1">
      <x:alignment horizontal="center" vertical="center" wrapText="1"/>
    </x:xf>
    <x:xf numFmtId="200" fontId="6" fillId="6" borderId="7" xfId="0" applyNumberFormat="1" applyFont="1" applyFill="1" applyBorder="1" applyAlignment="1">
      <x:alignment horizontal="center" vertical="center" wrapText="1"/>
    </x:xf>
    <x:xf numFmtId="200" fontId="6" fillId="6" borderId="8" xfId="0" applyNumberFormat="1" applyFont="1" applyFill="1" applyBorder="1" applyAlignment="1">
      <x:alignment horizontal="center" vertical="center" wrapText="1"/>
    </x:xf>
    <x:xf numFmtId="200" fontId="6" fillId="6" borderId="10" xfId="0" applyNumberFormat="1" applyFont="1" applyFill="1" applyBorder="1" applyAlignment="1">
      <x:alignment horizontal="center" vertical="center" wrapText="1"/>
    </x:xf>
    <x:xf numFmtId="200" fontId="6" fillId="6" borderId="11" xfId="0" applyNumberFormat="1" applyFont="1" applyFill="1" applyBorder="1" applyAlignment="1">
      <x:alignment horizontal="center" vertical="center" wrapText="1"/>
    </x:xf>
    <x:xf numFmtId="200" fontId="6" fillId="6" borderId="13" xfId="0" applyNumberFormat="1" applyFont="1" applyFill="1" applyBorder="1" applyAlignment="1">
      <x:alignment horizontal="center" vertical="center" wrapText="1"/>
    </x:xf>
    <x:xf numFmtId="200" fontId="6" fillId="6" borderId="14" xfId="0" applyNumberFormat="1" applyFont="1" applyFill="1" applyBorder="1" applyAlignment="1">
      <x:alignment horizontal="center" vertical="center" wrapText="1"/>
    </x:xf>
    <x:xf numFmtId="200" fontId="6" fillId="6" borderId="16" xfId="0" applyNumberFormat="1" applyFont="1" applyFill="1" applyBorder="1" applyAlignment="1">
      <x:alignment horizontal="center" vertical="center" wrapText="1"/>
    </x:xf>
    <x:xf numFmtId="200" fontId="6" fillId="6" borderId="17" xfId="0" applyNumberFormat="1" applyFont="1" applyFill="1" applyBorder="1" applyAlignment="1">
      <x:alignment horizontal="center" vertical="center" wrapText="1"/>
    </x:xf>
    <x:xf numFmtId="200" fontId="6" fillId="6" borderId="19" xfId="0" applyNumberFormat="1" applyFont="1" applyFill="1" applyBorder="1" applyAlignment="1">
      <x:alignment horizontal="center" vertical="center" wrapText="1"/>
    </x:xf>
    <x:xf numFmtId="0" fontId="7" fillId="5" borderId="0"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2" xfId="0" applyNumberFormat="1" applyFont="1" applyFill="1" applyBorder="1" applyAlignment="1">
      <x:alignment wrapText="1"/>
    </x:xf>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7" fillId="5" borderId="8" xfId="0" applyNumberFormat="1" applyFont="1" applyFill="1" applyBorder="1" applyAlignment="1">
      <x:alignment wrapText="1"/>
    </x:xf>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2" xfId="0" applyNumberFormat="1" applyFont="1" applyFill="1" applyBorder="1" applyAlignment="1">
      <x:alignment vertical="center" wrapText="1"/>
    </x:xf>
    <x:xf numFmtId="0" fontId="7" fillId="5" borderId="3" xfId="0" applyNumberFormat="1" applyFont="1" applyFill="1" applyBorder="1" applyAlignment="1">
      <x:alignment vertical="center" wrapText="1"/>
    </x:xf>
    <x:xf numFmtId="0" fontId="7" fillId="5" borderId="4" xfId="0" applyNumberFormat="1" applyFont="1" applyFill="1" applyBorder="1" applyAlignment="1">
      <x:alignment vertical="center" wrapText="1"/>
    </x:xf>
    <x:xf numFmtId="0" fontId="7" fillId="5" borderId="5" xfId="0" applyNumberFormat="1" applyFont="1" applyFill="1" applyBorder="1" applyAlignment="1">
      <x:alignment vertical="center" wrapText="1"/>
    </x:xf>
    <x:xf numFmtId="0" fontId="7" fillId="5" borderId="6" xfId="0" applyNumberFormat="1" applyFont="1" applyFill="1" applyBorder="1" applyAlignment="1">
      <x:alignment vertical="center" wrapText="1"/>
    </x:xf>
    <x:xf numFmtId="0" fontId="7" fillId="5" borderId="7" xfId="0" applyNumberFormat="1" applyFont="1" applyFill="1" applyBorder="1" applyAlignment="1">
      <x:alignment vertical="center" wrapText="1"/>
    </x:xf>
    <x:xf numFmtId="0" fontId="7" fillId="5" borderId="8" xfId="0" applyNumberFormat="1" applyFont="1" applyFill="1" applyBorder="1" applyAlignment="1">
      <x:alignment vertical="center"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17" xfId="0" applyNumberFormat="1" applyFont="1" applyFill="1" applyBorder="1"/>
    <x:xf numFmtId="0" fontId="7" fillId="5" borderId="18" xfId="0" applyNumberFormat="1" applyFont="1" applyFill="1" applyBorder="1"/>
    <x:xf numFmtId="0" fontId="7" fillId="5" borderId="19" xfId="0" applyNumberFormat="1" applyFont="1" applyFill="1" applyBorder="1"/>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17" xfId="0" applyNumberFormat="1" applyFont="1" applyFill="1" applyBorder="1" applyAlignment="1">
      <x:alignment wrapText="1"/>
    </x:xf>
    <x:xf numFmtId="0" fontId="7" fillId="5" borderId="18" xfId="0" applyNumberFormat="1" applyFont="1" applyFill="1" applyBorder="1" applyAlignment="1">
      <x:alignment wrapText="1"/>
    </x:xf>
    <x:xf numFmtId="0" fontId="7" fillId="5" borderId="19" xfId="0" applyNumberFormat="1" applyFont="1" applyFill="1" applyBorder="1" applyAlignment="1">
      <x:alignment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0" fontId="7" fillId="5" borderId="17" xfId="0" applyNumberFormat="1" applyFont="1" applyFill="1" applyBorder="1" applyAlignment="1">
      <x:alignment vertical="center" wrapText="1"/>
    </x:xf>
    <x:xf numFmtId="0" fontId="7" fillId="5" borderId="18" xfId="0" applyNumberFormat="1" applyFont="1" applyFill="1" applyBorder="1" applyAlignment="1">
      <x:alignment vertical="center" wrapText="1"/>
    </x:xf>
    <x:xf numFmtId="0" fontId="7" fillId="5" borderId="19" xfId="0" applyNumberFormat="1" applyFont="1" applyFill="1" applyBorder="1" applyAlignment="1">
      <x:alignment vertical="center" wrapText="1"/>
    </x:xf>
    <x:xf numFmtId="0" fontId="8" fillId="6" borderId="0" xfId="0" applyNumberFormat="1" applyFont="1" applyFill="1" applyBorder="1"/>
    <x:xf numFmtId="0" fontId="8" fillId="6" borderId="2" xfId="0" applyNumberFormat="1" applyFont="1" applyFill="1" applyBorder="1"/>
    <x:xf numFmtId="0" fontId="8" fillId="6" borderId="3" xfId="0" applyNumberFormat="1" applyFont="1" applyFill="1" applyBorder="1"/>
    <x:xf numFmtId="0" fontId="8" fillId="6" borderId="4" xfId="0" applyNumberFormat="1" applyFont="1" applyFill="1" applyBorder="1"/>
    <x:xf numFmtId="0" fontId="8" fillId="6" borderId="5" xfId="0" applyNumberFormat="1" applyFont="1" applyFill="1" applyBorder="1"/>
    <x:xf numFmtId="0" fontId="8" fillId="6" borderId="6" xfId="0" applyNumberFormat="1" applyFont="1" applyFill="1" applyBorder="1"/>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2" xfId="0" applyNumberFormat="1" applyFont="1" applyFill="1" applyBorder="1" applyAlignment="1">
      <x:alignment wrapText="1"/>
    </x:xf>
    <x:xf numFmtId="0" fontId="8" fillId="6" borderId="3" xfId="0" applyNumberFormat="1" applyFont="1" applyFill="1" applyBorder="1" applyAlignment="1">
      <x:alignment wrapText="1"/>
    </x:xf>
    <x:xf numFmtId="0" fontId="8" fillId="6" borderId="4" xfId="0" applyNumberFormat="1" applyFont="1" applyFill="1" applyBorder="1" applyAlignment="1">
      <x:alignment wrapText="1"/>
    </x:xf>
    <x:xf numFmtId="0" fontId="8" fillId="6" borderId="5" xfId="0" applyNumberFormat="1" applyFont="1" applyFill="1" applyBorder="1" applyAlignment="1">
      <x:alignment wrapText="1"/>
    </x:xf>
    <x:xf numFmtId="0" fontId="8" fillId="6" borderId="6" xfId="0" applyNumberFormat="1" applyFont="1" applyFill="1" applyBorder="1" applyAlignment="1">
      <x:alignment wrapText="1"/>
    </x:xf>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2" xfId="0" applyNumberFormat="1" applyFont="1" applyFill="1" applyBorder="1" applyAlignment="1">
      <x:alignment vertical="center" wrapText="1"/>
    </x:xf>
    <x:xf numFmtId="0" fontId="8" fillId="6" borderId="3" xfId="0" applyNumberFormat="1" applyFont="1" applyFill="1" applyBorder="1" applyAlignment="1">
      <x:alignment vertical="center" wrapText="1"/>
    </x:xf>
    <x:xf numFmtId="0" fontId="8" fillId="6" borderId="4" xfId="0" applyNumberFormat="1" applyFont="1" applyFill="1" applyBorder="1" applyAlignment="1">
      <x:alignment vertical="center" wrapText="1"/>
    </x:xf>
    <x:xf numFmtId="0" fontId="8" fillId="6" borderId="5" xfId="0" applyNumberFormat="1" applyFont="1" applyFill="1" applyBorder="1" applyAlignment="1">
      <x:alignment vertical="center" wrapText="1"/>
    </x:xf>
    <x:xf numFmtId="0" fontId="8" fillId="6" borderId="6" xfId="0" applyNumberFormat="1" applyFont="1" applyFill="1" applyBorder="1" applyAlignment="1">
      <x:alignment vertical="center" wrapText="1"/>
    </x:xf>
    <x:xf numFmtId="0" fontId="8" fillId="6" borderId="7" xfId="0" applyNumberFormat="1" applyFont="1" applyFill="1" applyBorder="1" applyAlignment="1">
      <x:alignment vertical="center" wrapText="1"/>
    </x:xf>
    <x:xf numFmtId="0" fontId="8" fillId="6" borderId="8" xfId="0" applyNumberFormat="1" applyFont="1" applyFill="1" applyBorder="1" applyAlignment="1">
      <x:alignment vertical="center" wrapText="1"/>
    </x:xf>
    <x:xf numFmtId="0" fontId="8" fillId="6" borderId="9" xfId="0" applyNumberFormat="1" applyFont="1" applyFill="1" applyBorder="1" applyAlignment="1">
      <x:alignment vertical="center" wrapText="1"/>
    </x:xf>
    <x:xf numFmtId="0" fontId="8" fillId="6" borderId="10" xfId="0" applyNumberFormat="1" applyFont="1" applyFill="1" applyBorder="1" applyAlignment="1">
      <x:alignment vertical="center" wrapText="1"/>
    </x:xf>
    <x:xf numFmtId="0" fontId="8" fillId="6" borderId="1"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13" xfId="0" applyNumberFormat="1" applyFont="1" applyFill="1" applyBorder="1"/>
    <x:xf numFmtId="0" fontId="8" fillId="6" borderId="14" xfId="0" applyNumberFormat="1" applyFont="1" applyFill="1" applyBorder="1"/>
    <x:xf numFmtId="0" fontId="8" fillId="6" borderId="15" xfId="0" applyNumberFormat="1" applyFont="1" applyFill="1" applyBorder="1"/>
    <x:xf numFmtId="0" fontId="8" fillId="6" borderId="16" xfId="0" applyNumberFormat="1" applyFont="1" applyFill="1" applyBorder="1"/>
    <x:xf numFmtId="0" fontId="8" fillId="6" borderId="17" xfId="0" applyNumberFormat="1" applyFont="1" applyFill="1" applyBorder="1"/>
    <x:xf numFmtId="0" fontId="8" fillId="6" borderId="18" xfId="0" applyNumberFormat="1" applyFont="1" applyFill="1" applyBorder="1"/>
    <x:xf numFmtId="0" fontId="8" fillId="6" borderId="19" xfId="0" applyNumberFormat="1" applyFont="1" applyFill="1" applyBorder="1"/>
    <x:xf numFmtId="0" fontId="8" fillId="6" borderId="11" xfId="0" applyNumberFormat="1" applyFont="1" applyFill="1" applyBorder="1" applyAlignment="1">
      <x:alignment wrapText="1"/>
    </x:xf>
    <x:xf numFmtId="0" fontId="8" fillId="6" borderId="12" xfId="0" applyNumberFormat="1" applyFont="1" applyFill="1" applyBorder="1" applyAlignment="1">
      <x:alignment wrapText="1"/>
    </x:xf>
    <x:xf numFmtId="0" fontId="8" fillId="6" borderId="13" xfId="0" applyNumberFormat="1" applyFont="1" applyFill="1" applyBorder="1" applyAlignment="1">
      <x:alignment wrapText="1"/>
    </x:xf>
    <x:xf numFmtId="0" fontId="8" fillId="6" borderId="14" xfId="0" applyNumberFormat="1" applyFont="1" applyFill="1" applyBorder="1" applyAlignment="1">
      <x:alignment wrapText="1"/>
    </x:xf>
    <x:xf numFmtId="0" fontId="8" fillId="6" borderId="15" xfId="0" applyNumberFormat="1" applyFont="1" applyFill="1" applyBorder="1" applyAlignment="1">
      <x:alignment wrapText="1"/>
    </x:xf>
    <x:xf numFmtId="0" fontId="8" fillId="6" borderId="16" xfId="0" applyNumberFormat="1" applyFont="1" applyFill="1" applyBorder="1" applyAlignment="1">
      <x:alignment wrapText="1"/>
    </x:xf>
    <x:xf numFmtId="0" fontId="8" fillId="6" borderId="17" xfId="0" applyNumberFormat="1" applyFont="1" applyFill="1" applyBorder="1" applyAlignment="1">
      <x:alignment wrapText="1"/>
    </x:xf>
    <x:xf numFmtId="0" fontId="8" fillId="6" borderId="18" xfId="0" applyNumberFormat="1" applyFont="1" applyFill="1" applyBorder="1" applyAlignment="1">
      <x:alignment wrapText="1"/>
    </x:xf>
    <x:xf numFmtId="0" fontId="8" fillId="6" borderId="19" xfId="0" applyNumberFormat="1" applyFont="1" applyFill="1" applyBorder="1" applyAlignment="1">
      <x:alignment wrapText="1"/>
    </x:xf>
    <x:xf numFmtId="0" fontId="8" fillId="6" borderId="11" xfId="0" applyNumberFormat="1" applyFont="1" applyFill="1" applyBorder="1" applyAlignment="1">
      <x:alignment vertical="center" wrapText="1"/>
    </x:xf>
    <x:xf numFmtId="0" fontId="8" fillId="6" borderId="12" xfId="0" applyNumberFormat="1" applyFont="1" applyFill="1" applyBorder="1" applyAlignment="1">
      <x:alignment vertical="center" wrapText="1"/>
    </x:xf>
    <x:xf numFmtId="0" fontId="8" fillId="6" borderId="13" xfId="0" applyNumberFormat="1" applyFont="1" applyFill="1" applyBorder="1" applyAlignment="1">
      <x:alignment vertical="center" wrapText="1"/>
    </x:xf>
    <x:xf numFmtId="0" fontId="8" fillId="6" borderId="14" xfId="0" applyNumberFormat="1" applyFont="1" applyFill="1" applyBorder="1" applyAlignment="1">
      <x:alignment vertical="center" wrapText="1"/>
    </x:xf>
    <x:xf numFmtId="0" fontId="8" fillId="6" borderId="15" xfId="0" applyNumberFormat="1" applyFont="1" applyFill="1" applyBorder="1" applyAlignment="1">
      <x:alignment vertical="center" wrapText="1"/>
    </x:xf>
    <x:xf numFmtId="0" fontId="8" fillId="6" borderId="16" xfId="0" applyNumberFormat="1" applyFont="1" applyFill="1" applyBorder="1" applyAlignment="1">
      <x:alignment vertical="center" wrapText="1"/>
    </x:xf>
    <x:xf numFmtId="0" fontId="8" fillId="6" borderId="17" xfId="0" applyNumberFormat="1" applyFont="1" applyFill="1" applyBorder="1" applyAlignment="1">
      <x:alignment vertical="center" wrapText="1"/>
    </x:xf>
    <x:xf numFmtId="0" fontId="8" fillId="6" borderId="18" xfId="0" applyNumberFormat="1" applyFont="1" applyFill="1" applyBorder="1" applyAlignment="1">
      <x:alignment vertical="center" wrapText="1"/>
    </x:xf>
    <x:xf numFmtId="0" fontId="8" fillId="6" borderId="19" xfId="0" applyNumberFormat="1" applyFont="1" applyFill="1" applyBorder="1" applyAlignment="1">
      <x:alignment vertical="center" wrapText="1"/>
    </x:xf>
    <x:xf numFmtId="0" fontId="9" fillId="6" borderId="0" xfId="0" applyNumberFormat="1" applyFont="1" applyFill="1" applyBorder="1"/>
    <x:xf numFmtId="0" fontId="9" fillId="6" borderId="2" xfId="0" applyNumberFormat="1" applyFont="1" applyFill="1" applyBorder="1"/>
    <x:xf numFmtId="0" fontId="9" fillId="6" borderId="3" xfId="0" applyNumberFormat="1" applyFont="1" applyFill="1" applyBorder="1"/>
    <x:xf numFmtId="0" fontId="9" fillId="6" borderId="4"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7" xfId="0" applyNumberFormat="1" applyFont="1" applyFill="1" applyBorder="1"/>
    <x:xf numFmtId="0" fontId="9" fillId="6" borderId="8" xfId="0" applyNumberFormat="1" applyFont="1" applyFill="1" applyBorder="1"/>
    <x:xf numFmtId="0" fontId="9" fillId="6" borderId="9" xfId="0" applyNumberFormat="1" applyFont="1" applyFill="1" applyBorder="1"/>
    <x:xf numFmtId="0" fontId="9" fillId="6" borderId="10" xfId="0" applyNumberFormat="1" applyFont="1" applyFill="1" applyBorder="1"/>
    <x:xf numFmtId="0" fontId="9" fillId="6" borderId="2" xfId="0" applyNumberFormat="1" applyFont="1" applyFill="1" applyBorder="1" applyAlignment="1">
      <x:alignment wrapText="1"/>
    </x:xf>
    <x:xf numFmtId="0" fontId="9" fillId="6" borderId="3" xfId="0" applyNumberFormat="1" applyFont="1" applyFill="1" applyBorder="1" applyAlignment="1">
      <x:alignment wrapText="1"/>
    </x:xf>
    <x:xf numFmtId="0" fontId="9" fillId="6" borderId="4" xfId="0" applyNumberFormat="1" applyFont="1" applyFill="1" applyBorder="1" applyAlignment="1">
      <x:alignment wrapText="1"/>
    </x:xf>
    <x:xf numFmtId="0" fontId="9" fillId="6" borderId="5" xfId="0" applyNumberFormat="1" applyFont="1" applyFill="1" applyBorder="1" applyAlignment="1">
      <x:alignment wrapText="1"/>
    </x:xf>
    <x:xf numFmtId="0" fontId="9" fillId="6" borderId="6" xfId="0" applyNumberFormat="1" applyFont="1" applyFill="1" applyBorder="1" applyAlignment="1">
      <x:alignment wrapText="1"/>
    </x:xf>
    <x:xf numFmtId="0" fontId="9" fillId="6" borderId="7" xfId="0" applyNumberFormat="1" applyFont="1" applyFill="1" applyBorder="1" applyAlignment="1">
      <x:alignment wrapText="1"/>
    </x:xf>
    <x:xf numFmtId="0" fontId="9" fillId="6" borderId="8" xfId="0" applyNumberFormat="1" applyFont="1" applyFill="1" applyBorder="1" applyAlignment="1">
      <x:alignment wrapText="1"/>
    </x:xf>
    <x:xf numFmtId="0" fontId="9" fillId="6" borderId="9" xfId="0" applyNumberFormat="1" applyFont="1" applyFill="1" applyBorder="1" applyAlignment="1">
      <x:alignment wrapText="1"/>
    </x:xf>
    <x:xf numFmtId="0" fontId="9" fillId="6" borderId="10" xfId="0" applyNumberFormat="1" applyFont="1" applyFill="1" applyBorder="1" applyAlignment="1">
      <x:alignment wrapText="1"/>
    </x:xf>
    <x:xf numFmtId="0" fontId="9" fillId="6" borderId="2" xfId="0" applyNumberFormat="1" applyFont="1" applyFill="1" applyBorder="1" applyAlignment="1">
      <x:alignment horizontal="center" wrapText="1"/>
    </x:xf>
    <x:xf numFmtId="0" fontId="9" fillId="6" borderId="3" xfId="0" applyNumberFormat="1" applyFont="1" applyFill="1" applyBorder="1" applyAlignment="1">
      <x:alignment horizontal="center" wrapText="1"/>
    </x:xf>
    <x:xf numFmtId="0" fontId="9" fillId="6" borderId="4" xfId="0" applyNumberFormat="1" applyFont="1" applyFill="1" applyBorder="1" applyAlignment="1">
      <x:alignment horizontal="center" wrapText="1"/>
    </x:xf>
    <x:xf numFmtId="0" fontId="9" fillId="6" borderId="5" xfId="0" applyNumberFormat="1" applyFont="1" applyFill="1" applyBorder="1" applyAlignment="1">
      <x:alignment horizontal="center" wrapText="1"/>
    </x:xf>
    <x:xf numFmtId="0" fontId="9" fillId="6" borderId="6" xfId="0" applyNumberFormat="1" applyFont="1" applyFill="1" applyBorder="1" applyAlignment="1">
      <x:alignment horizontal="center" wrapText="1"/>
    </x:xf>
    <x:xf numFmtId="0" fontId="9" fillId="6" borderId="7" xfId="0" applyNumberFormat="1" applyFont="1" applyFill="1" applyBorder="1" applyAlignment="1">
      <x:alignment horizontal="center" wrapText="1"/>
    </x:xf>
    <x:xf numFmtId="0" fontId="9" fillId="6" borderId="8" xfId="0" applyNumberFormat="1" applyFont="1" applyFill="1" applyBorder="1" applyAlignment="1">
      <x:alignment horizontal="center" wrapText="1"/>
    </x:xf>
    <x:xf numFmtId="0" fontId="9" fillId="6" borderId="9" xfId="0" applyNumberFormat="1" applyFont="1" applyFill="1" applyBorder="1" applyAlignment="1">
      <x:alignment horizontal="center" wrapText="1"/>
    </x:xf>
    <x:xf numFmtId="0" fontId="9" fillId="6" borderId="10" xfId="0" applyNumberFormat="1" applyFont="1" applyFill="1" applyBorder="1" applyAlignment="1">
      <x:alignment horizontal="center" wrapText="1"/>
    </x:xf>
    <x:xf numFmtId="0" fontId="9" fillId="6" borderId="2" xfId="0" applyNumberFormat="1" applyFont="1" applyFill="1" applyBorder="1" applyAlignment="1">
      <x:alignment horizontal="center" vertical="center" wrapText="1"/>
    </x:xf>
    <x:xf numFmtId="0" fontId="9" fillId="6" borderId="3" xfId="0" applyNumberFormat="1" applyFont="1" applyFill="1" applyBorder="1" applyAlignment="1">
      <x:alignment horizontal="center" vertical="center" wrapText="1"/>
    </x:xf>
    <x:xf numFmtId="0" fontId="9" fillId="6" borderId="4" xfId="0" applyNumberFormat="1" applyFont="1" applyFill="1" applyBorder="1" applyAlignment="1">
      <x:alignment horizontal="center" vertical="center" wrapText="1"/>
    </x:xf>
    <x:xf numFmtId="0" fontId="9" fillId="6" borderId="5" xfId="0" applyNumberFormat="1" applyFont="1" applyFill="1" applyBorder="1" applyAlignment="1">
      <x:alignment horizontal="center" vertical="center" wrapText="1"/>
    </x:xf>
    <x:xf numFmtId="0" fontId="9" fillId="6" borderId="6" xfId="0" applyNumberFormat="1" applyFont="1" applyFill="1" applyBorder="1" applyAlignment="1">
      <x:alignment horizontal="center" vertical="center" wrapText="1"/>
    </x:xf>
    <x:xf numFmtId="0" fontId="9" fillId="6" borderId="7" xfId="0" applyNumberFormat="1" applyFont="1" applyFill="1" applyBorder="1" applyAlignment="1">
      <x:alignment horizontal="center" vertical="center" wrapText="1"/>
    </x:xf>
    <x:xf numFmtId="0" fontId="9" fillId="6" borderId="8" xfId="0" applyNumberFormat="1" applyFont="1" applyFill="1" applyBorder="1" applyAlignment="1">
      <x:alignment horizontal="center" vertical="center" wrapText="1"/>
    </x:xf>
    <x:xf numFmtId="0" fontId="9" fillId="6" borderId="9" xfId="0" applyNumberFormat="1" applyFont="1" applyFill="1" applyBorder="1" applyAlignment="1">
      <x:alignment horizontal="center" vertical="center" wrapText="1"/>
    </x:xf>
    <x:xf numFmtId="0" fontId="9" fillId="6" borderId="10" xfId="0" applyNumberFormat="1" applyFont="1" applyFill="1" applyBorder="1" applyAlignment="1">
      <x:alignment horizontal="center" vertical="center" wrapText="1"/>
    </x:xf>
    <x:xf numFmtId="0" fontId="9" fillId="6" borderId="1" xfId="0" applyNumberFormat="1" applyFont="1" applyFill="1" applyBorder="1"/>
    <x:xf numFmtId="0" fontId="9" fillId="6" borderId="11" xfId="0" applyNumberFormat="1" applyFont="1" applyFill="1" applyBorder="1"/>
    <x:xf numFmtId="0" fontId="9" fillId="6" borderId="12" xfId="0" applyNumberFormat="1" applyFont="1" applyFill="1" applyBorder="1"/>
    <x:xf numFmtId="0" fontId="9" fillId="6" borderId="13" xfId="0" applyNumberFormat="1" applyFont="1" applyFill="1" applyBorder="1"/>
    <x:xf numFmtId="0" fontId="9" fillId="6" borderId="14" xfId="0" applyNumberFormat="1" applyFont="1" applyFill="1" applyBorder="1"/>
    <x:xf numFmtId="0" fontId="9" fillId="6" borderId="15" xfId="0" applyNumberFormat="1" applyFont="1" applyFill="1" applyBorder="1"/>
    <x:xf numFmtId="0" fontId="9" fillId="6" borderId="16" xfId="0" applyNumberFormat="1" applyFont="1" applyFill="1" applyBorder="1"/>
    <x:xf numFmtId="0" fontId="9" fillId="6" borderId="17" xfId="0" applyNumberFormat="1" applyFont="1" applyFill="1" applyBorder="1"/>
    <x:xf numFmtId="0" fontId="9" fillId="6" borderId="18" xfId="0" applyNumberFormat="1" applyFont="1" applyFill="1" applyBorder="1"/>
    <x:xf numFmtId="0" fontId="9" fillId="6" borderId="19" xfId="0" applyNumberFormat="1" applyFont="1" applyFill="1" applyBorder="1"/>
    <x:xf numFmtId="0" fontId="9" fillId="6" borderId="11" xfId="0" applyNumberFormat="1" applyFont="1" applyFill="1" applyBorder="1" applyAlignment="1">
      <x:alignment wrapText="1"/>
    </x:xf>
    <x:xf numFmtId="0" fontId="9" fillId="6" borderId="12" xfId="0" applyNumberFormat="1" applyFont="1" applyFill="1" applyBorder="1" applyAlignment="1">
      <x:alignment wrapText="1"/>
    </x:xf>
    <x:xf numFmtId="0" fontId="9" fillId="6" borderId="13" xfId="0" applyNumberFormat="1" applyFont="1" applyFill="1" applyBorder="1" applyAlignment="1">
      <x:alignment wrapText="1"/>
    </x:xf>
    <x:xf numFmtId="0" fontId="9" fillId="6" borderId="14" xfId="0" applyNumberFormat="1" applyFont="1" applyFill="1" applyBorder="1" applyAlignment="1">
      <x:alignment wrapText="1"/>
    </x:xf>
    <x:xf numFmtId="0" fontId="9" fillId="6" borderId="15" xfId="0" applyNumberFormat="1" applyFont="1" applyFill="1" applyBorder="1" applyAlignment="1">
      <x:alignment wrapText="1"/>
    </x:xf>
    <x:xf numFmtId="0" fontId="9" fillId="6" borderId="16" xfId="0" applyNumberFormat="1" applyFont="1" applyFill="1" applyBorder="1" applyAlignment="1">
      <x:alignment wrapText="1"/>
    </x:xf>
    <x:xf numFmtId="0" fontId="9" fillId="6" borderId="17" xfId="0" applyNumberFormat="1" applyFont="1" applyFill="1" applyBorder="1" applyAlignment="1">
      <x:alignment wrapText="1"/>
    </x:xf>
    <x:xf numFmtId="0" fontId="9" fillId="6" borderId="18" xfId="0" applyNumberFormat="1" applyFont="1" applyFill="1" applyBorder="1" applyAlignment="1">
      <x:alignment wrapText="1"/>
    </x:xf>
    <x:xf numFmtId="0" fontId="9" fillId="6" borderId="19" xfId="0" applyNumberFormat="1" applyFont="1" applyFill="1" applyBorder="1" applyAlignment="1">
      <x:alignment wrapText="1"/>
    </x:xf>
    <x:xf numFmtId="0" fontId="9" fillId="6" borderId="11" xfId="0" applyNumberFormat="1" applyFont="1" applyFill="1" applyBorder="1" applyAlignment="1">
      <x:alignment horizontal="center" wrapText="1"/>
    </x:xf>
    <x:xf numFmtId="0" fontId="9" fillId="6" borderId="12" xfId="0" applyNumberFormat="1" applyFont="1" applyFill="1" applyBorder="1" applyAlignment="1">
      <x:alignment horizontal="center" wrapText="1"/>
    </x:xf>
    <x:xf numFmtId="0" fontId="9" fillId="6" borderId="13" xfId="0" applyNumberFormat="1" applyFont="1" applyFill="1" applyBorder="1" applyAlignment="1">
      <x:alignment horizontal="center" wrapText="1"/>
    </x:xf>
    <x:xf numFmtId="0" fontId="9" fillId="6" borderId="14" xfId="0" applyNumberFormat="1" applyFont="1" applyFill="1" applyBorder="1" applyAlignment="1">
      <x:alignment horizontal="center" wrapText="1"/>
    </x:xf>
    <x:xf numFmtId="0" fontId="9" fillId="6" borderId="15" xfId="0" applyNumberFormat="1" applyFont="1" applyFill="1" applyBorder="1" applyAlignment="1">
      <x:alignment horizontal="center" wrapText="1"/>
    </x:xf>
    <x:xf numFmtId="0" fontId="9" fillId="6" borderId="16" xfId="0" applyNumberFormat="1" applyFont="1" applyFill="1" applyBorder="1" applyAlignment="1">
      <x:alignment horizontal="center" wrapText="1"/>
    </x:xf>
    <x:xf numFmtId="0" fontId="9" fillId="6" borderId="17" xfId="0" applyNumberFormat="1" applyFont="1" applyFill="1" applyBorder="1" applyAlignment="1">
      <x:alignment horizontal="center" wrapText="1"/>
    </x:xf>
    <x:xf numFmtId="0" fontId="9" fillId="6" borderId="18" xfId="0" applyNumberFormat="1" applyFont="1" applyFill="1" applyBorder="1" applyAlignment="1">
      <x:alignment horizontal="center" wrapText="1"/>
    </x:xf>
    <x:xf numFmtId="0" fontId="9" fillId="6" borderId="19" xfId="0" applyNumberFormat="1" applyFont="1" applyFill="1" applyBorder="1" applyAlignment="1">
      <x:alignment horizontal="center" wrapText="1"/>
    </x:xf>
    <x:xf numFmtId="0" fontId="9" fillId="6" borderId="11" xfId="0" applyNumberFormat="1" applyFont="1" applyFill="1" applyBorder="1" applyAlignment="1">
      <x:alignment horizontal="center" vertical="center" wrapText="1"/>
    </x:xf>
    <x:xf numFmtId="0" fontId="9" fillId="6" borderId="12" xfId="0" applyNumberFormat="1" applyFont="1" applyFill="1" applyBorder="1" applyAlignment="1">
      <x:alignment horizontal="center" vertical="center" wrapText="1"/>
    </x:xf>
    <x:xf numFmtId="0" fontId="9" fillId="6" borderId="13" xfId="0" applyNumberFormat="1" applyFont="1" applyFill="1" applyBorder="1" applyAlignment="1">
      <x:alignment horizontal="center" vertical="center" wrapText="1"/>
    </x:xf>
    <x:xf numFmtId="0" fontId="9" fillId="6" borderId="14" xfId="0" applyNumberFormat="1" applyFont="1" applyFill="1" applyBorder="1" applyAlignment="1">
      <x:alignment horizontal="center" vertical="center" wrapText="1"/>
    </x:xf>
    <x:xf numFmtId="0" fontId="9" fillId="6" borderId="15" xfId="0" applyNumberFormat="1" applyFont="1" applyFill="1" applyBorder="1" applyAlignment="1">
      <x:alignment horizontal="center" vertical="center" wrapText="1"/>
    </x:xf>
    <x:xf numFmtId="0" fontId="9" fillId="6" borderId="16" xfId="0" applyNumberFormat="1" applyFont="1" applyFill="1" applyBorder="1" applyAlignment="1">
      <x:alignment horizontal="center" vertical="center" wrapText="1"/>
    </x:xf>
    <x:xf numFmtId="0" fontId="9" fillId="6" borderId="17" xfId="0" applyNumberFormat="1" applyFont="1" applyFill="1" applyBorder="1" applyAlignment="1">
      <x:alignment horizontal="center" vertical="center" wrapText="1"/>
    </x:xf>
    <x:xf numFmtId="0" fontId="9" fillId="6" borderId="18" xfId="0" applyNumberFormat="1" applyFont="1" applyFill="1" applyBorder="1" applyAlignment="1">
      <x:alignment horizontal="center" vertical="center" wrapText="1"/>
    </x:xf>
    <x:xf numFmtId="0" fontId="9" fillId="6" borderId="19" xfId="0" applyNumberFormat="1" applyFont="1" applyFill="1" applyBorder="1" applyAlignment="1">
      <x:alignment horizontal="center" vertical="center" wrapText="1"/>
    </x:xf>
    <x:xf numFmtId="200" fontId="0" fillId="5" borderId="6" xfId="0" applyNumberFormat="1" applyFont="1" applyFill="1" applyBorder="1" applyAlignment="1">
      <x:alignment wrapText="1"/>
    </x:xf>
    <x:xf numFmtId="0" fontId="10" fillId="5" borderId="3" xfId="0" applyNumberFormat="1" applyFont="1" applyFill="1" applyBorder="1" applyAlignment="1">
      <x:alignment wrapText="1"/>
    </x:xf>
    <x:xf numFmtId="200" fontId="10" fillId="5" borderId="6" xfId="0" applyNumberFormat="1" applyFont="1" applyFill="1" applyBorder="1" applyAlignment="1">
      <x:alignment wrapText="1"/>
    </x:xf>
    <x:xf numFmtId="0" fontId="10" fillId="5" borderId="6" xfId="0" applyNumberFormat="1" applyFont="1" applyFill="1" applyBorder="1" applyAlignment="1">
      <x:alignment wrapText="1"/>
    </x:xf>
    <x:xf numFmtId="0" fontId="10" fillId="5" borderId="9" xfId="0" applyNumberFormat="1" applyFont="1" applyFill="1" applyBorder="1" applyAlignment="1">
      <x:alignment wrapText="1"/>
    </x:xf>
    <x:xf numFmtId="0" fontId="10" fillId="5" borderId="24" xfId="0" applyNumberFormat="1" applyFont="1" applyFill="1" applyBorder="1" applyAlignment="1">
      <x:alignment wrapText="1"/>
    </x:xf>
    <x:xf numFmtId="200" fontId="10" fillId="5" borderId="25" xfId="0" applyNumberFormat="1" applyFont="1" applyFill="1" applyBorder="1" applyAlignment="1">
      <x:alignment wrapText="1"/>
    </x:xf>
    <x:xf numFmtId="0" fontId="10" fillId="5" borderId="25" xfId="0" applyNumberFormat="1" applyFont="1" applyFill="1" applyBorder="1" applyAlignment="1">
      <x:alignment wrapText="1"/>
    </x:xf>
    <x:xf numFmtId="0" fontId="10" fillId="5" borderId="26" xfId="0" applyNumberFormat="1" applyFont="1" applyFill="1" applyBorder="1" applyAlignment="1">
      <x:alignment wrapText="1"/>
    </x:xf>
    <x:xf numFmtId="0" fontId="10" fillId="5" borderId="24" xfId="0" applyNumberFormat="1" applyFont="1" applyFill="1" applyBorder="1" applyAlignment="1">
      <x:alignment horizontal="center" wrapText="1"/>
    </x:xf>
    <x:xf numFmtId="200" fontId="10" fillId="5" borderId="25" xfId="0" applyNumberFormat="1" applyFont="1" applyFill="1" applyBorder="1" applyAlignment="1">
      <x:alignment horizontal="center" wrapText="1"/>
    </x:xf>
    <x:xf numFmtId="0" fontId="10" fillId="5" borderId="25" xfId="0" applyNumberFormat="1" applyFont="1" applyFill="1" applyBorder="1" applyAlignment="1">
      <x:alignment horizontal="center" wrapText="1"/>
    </x:xf>
    <x:xf numFmtId="0" fontId="10" fillId="5" borderId="26" xfId="0" applyNumberFormat="1" applyFont="1" applyFill="1" applyBorder="1" applyAlignment="1">
      <x:alignment horizontal="center" wrapText="1"/>
    </x:xf>
    <x:xf numFmtId="0" fontId="10" fillId="5" borderId="24" xfId="0" applyNumberFormat="1" applyFont="1" applyFill="1" applyBorder="1" applyAlignment="1">
      <x:alignment horizontal="center" vertical="center" wrapText="1"/>
    </x:xf>
    <x:xf numFmtId="200" fontId="10" fillId="5" borderId="25" xfId="0" applyNumberFormat="1" applyFont="1" applyFill="1" applyBorder="1" applyAlignment="1">
      <x:alignment horizontal="center" vertical="center" wrapText="1"/>
    </x:xf>
    <x:xf numFmtId="0" fontId="10" fillId="5" borderId="25" xfId="0" applyNumberFormat="1" applyFont="1" applyFill="1" applyBorder="1" applyAlignment="1">
      <x:alignment horizontal="center" vertical="center" wrapText="1"/>
    </x:xf>
    <x:xf numFmtId="0" fontId="10" fillId="5" borderId="26" xfId="0" applyNumberFormat="1" applyFont="1" applyFill="1" applyBorder="1" applyAlignment="1">
      <x:alignment horizontal="center" vertical="center" wrapText="1"/>
    </x:xf>
  </x:cellXfs>
  <x:cellStyles count="1">
    <x:cellStyle name="Normal" xfId="0"/>
  </x:cellStyles>
  <x:dxfs count="19">
    <x:dxf>
      <x:font>
        <x:b/>
        <x:color rgb="006100"/>
      </x:font>
      <x:fill>
        <x:patternFill>
          <x:bgColor rgb="E2F0D9"/>
        </x:patternFill>
      </x:fill>
    </x:dxf>
    <x:dxf>
      <x:font>
        <x:b/>
        <x:color rgb="9C0006"/>
      </x:font>
      <x:fill>
        <x:patternFill>
          <x:bgColor rgb="FCE4D6"/>
        </x:patternFill>
      </x:fill>
    </x:dxf>
    <x:dxf>
      <x:font>
        <x:b/>
        <x:color rgb="006100"/>
      </x:font>
      <x:fill>
        <x:patternFill>
          <x:bgColor rgb="E2F0D9"/>
        </x:patternFill>
      </x:fill>
    </x:dxf>
    <x:dxf>
      <x:font>
        <x:b/>
        <x:color rgb="9C0006"/>
      </x:font>
      <x:fill>
        <x:patternFill>
          <x:bgColor rgb="FCE4D6"/>
        </x:patternFill>
      </x:fill>
    </x:dxf>
    <x:dxf>
      <x:font>
        <x:b/>
        <x:color rgb="006100"/>
      </x:font>
      <x:fill>
        <x:patternFill>
          <x:bgColor rgb="E2F0D9"/>
        </x:patternFill>
      </x:fill>
    </x:dxf>
    <x:dxf>
      <x:font>
        <x:b/>
        <x:color rgb="9C0006"/>
      </x:font>
      <x:fill>
        <x:patternFill>
          <x:bgColor rgb="FCE4D6"/>
        </x:patternFill>
      </x:fill>
    </x:dxf>
    <x:dxf>
      <x:font>
        <x:b/>
        <x:color rgb="006100"/>
      </x:font>
      <x:fill>
        <x:patternFill>
          <x:bgColor rgb="E2F0D9"/>
        </x:patternFill>
      </x:fill>
    </x:dxf>
    <x:dxf>
      <x:font>
        <x:b/>
        <x:color rgb="9C0006"/>
      </x:font>
      <x:fill>
        <x:patternFill>
          <x:bgColor rgb="FCE4D6"/>
        </x:patternFill>
      </x:fill>
    </x:dxf>
    <x:dxf>
      <x:font>
        <x:b/>
        <x:color rgb="006100"/>
      </x:font>
      <x:fill>
        <x:patternFill>
          <x:bgColor rgb="E2F0D9"/>
        </x:patternFill>
      </x:fill>
    </x:dxf>
    <x:dxf>
      <x:font>
        <x:b/>
        <x:color rgb="9C0006"/>
      </x:font>
      <x:fill>
        <x:patternFill>
          <x:bgColor rgb="FCE4D6"/>
        </x:patternFill>
      </x:fill>
    </x:dxf>
    <x:dxf>
      <x:font>
        <x:b/>
        <x:color rgb="006100"/>
      </x:font>
      <x:fill>
        <x:patternFill>
          <x:bgColor rgb="E2F0D9"/>
        </x:patternFill>
      </x:fill>
    </x:dxf>
    <x:dxf>
      <x:font>
        <x:b/>
        <x:color rgb="006100"/>
      </x:font>
      <x:fill>
        <x:patternFill>
          <x:bgColor rgb="E2F0D9"/>
        </x:patternFill>
      </x:fill>
    </x:dxf>
    <x:dxf>
      <x:font>
        <x:b/>
        <x:color rgb="9C0006"/>
      </x:font>
      <x:fill>
        <x:patternFill>
          <x:bgColor rgb="FCE4D6"/>
        </x:patternFill>
      </x:fill>
    </x:dxf>
    <x:dxf>
      <x:font>
        <x:b/>
        <x:sz val="16"/>
        <x:color rgb="006100"/>
      </x:font>
      <x:fill>
        <x:patternFill>
          <x:bgColor rgb="E2F0D9"/>
        </x:patternFill>
      </x:fill>
    </x:dxf>
    <x:dxf>
      <x:font>
        <x:b/>
        <x:sz val="16"/>
        <x:color rgb="9C0006"/>
      </x:font>
      <x:fill>
        <x:patternFill>
          <x:bgColor rgb="FCE4D6"/>
        </x:patternFill>
      </x:fill>
    </x:dxf>
    <x:dxf>
      <x:fill>
        <x:patternFill>
          <x:bgColor rgb="E2F0D9"/>
        </x:patternFill>
      </x:fill>
    </x:dxf>
    <x:dxf>
      <x:fill>
        <x:patternFill>
          <x:bgColor rgb="FCE4D6"/>
        </x:patternFill>
      </x:fill>
    </x:dxf>
    <x:dxf>
      <x:font>
        <x:b/>
        <x:color rgb="006100"/>
      </x:font>
      <x:fill>
        <x:patternFill>
          <x:bgColor rgb="E2F0D9"/>
        </x:patternFill>
      </x:fill>
    </x:dxf>
    <x:dxf>
      <x:font>
        <x:b/>
        <x:color rgb="9C0006"/>
      </x:font>
      <x:fill>
        <x:patternFill>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da5d2e983e4489" /><Relationship Type="http://schemas.openxmlformats.org/officeDocument/2006/relationships/theme" Target="/xl/theme/theme1.xml" Id="R68d38836fbc34a8b" /><Relationship Type="http://schemas.openxmlformats.org/officeDocument/2006/relationships/sharedStrings" Target="/xl/sharedStrings.xml" Id="R0a3877f518a24db1" /><Relationship Type="http://schemas.openxmlformats.org/officeDocument/2006/relationships/worksheet" Target="/xl/worksheets/sheet1.xml" Id="Rd47718b130d945c3" /><Relationship Type="http://schemas.openxmlformats.org/officeDocument/2006/relationships/worksheet" Target="/xl/worksheets/sheet2.xml" Id="R49a25ff5dd3341eb" /><Relationship Type="http://schemas.openxmlformats.org/officeDocument/2006/relationships/worksheet" Target="/xl/worksheets/sheet3.xml" Id="R276134c1c043427d" /><Relationship Type="http://schemas.openxmlformats.org/officeDocument/2006/relationships/worksheet" Target="/xl/worksheets/sheet4.xml" Id="R47c4a46cc8bb42bc" /><Relationship Type="http://schemas.openxmlformats.org/officeDocument/2006/relationships/worksheet" Target="/xl/worksheets/sheet5.xml" Id="R46b31df8904e4f53" /><Relationship Type="http://schemas.openxmlformats.org/officeDocument/2006/relationships/worksheet" Target="/xl/worksheets/sheet6.xml" Id="R3431fe8b757d4be1" /><Relationship Type="http://schemas.openxmlformats.org/officeDocument/2006/relationships/worksheet" Target="/xl/worksheets/sheet7.xml" Id="Rf5badefaa16f4c58" /><Relationship Type="http://schemas.openxmlformats.org/officeDocument/2006/relationships/worksheet" Target="/xl/worksheets/sheet8.xml" Id="R2ea7d01e93f64947" /><Relationship Type="http://schemas.openxmlformats.org/officeDocument/2006/relationships/worksheet" Target="/xl/worksheets/sheet9.xml" Id="Rdfe610d630f94cfc" /><Relationship Type="http://schemas.openxmlformats.org/officeDocument/2006/relationships/worksheet" Target="/xl/worksheets/sheet10.xml" Id="R1f03a941d5db4f9f" /><Relationship Type="http://schemas.openxmlformats.org/officeDocument/2006/relationships/worksheet" Target="/xl/worksheets/sheet11.xml" Id="Rb601834e696f465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c9aa235d5ce4c8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Layer 0 Exit Score by Topic</a:t>
            </a:r>
          </a:p>
        </c:rich>
      </c:tx>
      <c:overlay val="0"/>
    </c:title>
    <c:autoTitleDeleted val="0"/>
    <c:plotArea>
      <c:layout/>
      <c:barChart>
        <c:barDir val="bar"/>
        <c:varyColors val="0"/>
        <c:ser>
          <c:idx val="0"/>
          <c:order val="0"/>
          <c:tx>
            <c:v>Exit Score %</c:v>
          </c:tx>
          <c:cat>
            <c:strRef>
              <c:f>'Progression Decision'!$G$6:$G$15</c:f>
              <c:strCache>
                <c:ptCount val="0"/>
              </c:strCache>
            </c:strRef>
          </c:cat>
          <c:val>
            <c:numRef>
              <c:f>'Progression Decision'!$H$6:$H$15</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17</xdr:row>
      <xdr:rowOff>0</xdr:rowOff>
    </xdr:from>
    <xdr:to>
      <xdr:col>13</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9aa235d5ce4c8a"/>
        </a:graphicData>
      </a:graphic>
    </xdr:graphicFrame>
    <xdr:clientData/>
  </xdr:twoCellAnchor>
</xdr:wsDr>
</file>

<file path=xl/tables/table1.xml><?xml version="1.0" encoding="utf-8"?>
<x:table xmlns:x="http://schemas.openxmlformats.org/spreadsheetml/2006/main" id="1" name="Layer0AnswerKeyTable" displayName="Layer0AnswerKeyTable" ref="A5:L59" headerRowCount="1">
  <x:tableColumns count="12">
    <x:tableColumn id="1" name="Assessment"/>
    <x:tableColumn id="2" name="Item ID"/>
    <x:tableColumn id="3" name="Topic Index"/>
    <x:tableColumn id="4" name="Topic Name"/>
    <x:tableColumn id="5" name="Question Type"/>
    <x:tableColumn id="6" name="Correct Option"/>
    <x:tableColumn id="7" name="Expected Answer / Evidence"/>
    <x:tableColumn id="8" name="Scoring Rubric"/>
    <x:tableColumn id="9" name="Max Score"/>
    <x:tableColumn id="10" name="Pass Threshold"/>
    <x:tableColumn id="11" name="Gap Type"/>
    <x:tableColumn id="12" name="Recommended Remediation"/>
  </x:tableColumns>
  <x:tableStyleInfo name="TableStyleMedium2" showRowStripes="1"/>
</x:table>
</file>

<file path=xl/tables/table2.xml><?xml version="1.0" encoding="utf-8"?>
<x:table xmlns:x="http://schemas.openxmlformats.org/spreadsheetml/2006/main" id="2" name="Layer0EntryTopicsTable" displayName="Layer0EntryTopicsTable" ref="A5:H15" headerRowCount="1">
  <x:tableColumns count="8">
    <x:tableColumn id="1" name="Topic Index"/>
    <x:tableColumn id="2" name="Topic Name"/>
    <x:tableColumn id="3" name="Entry Evidence"/>
    <x:tableColumn id="4" name="Entry Result"/>
    <x:tableColumn id="5" name="Confidence (1–5)"/>
    <x:tableColumn id="6" name="Entry Decision"/>
    <x:tableColumn id="7" name="Required Proficiency"/>
    <x:tableColumn id="8" name="Notes"/>
  </x:tableColumns>
  <x:tableStyleInfo name="TableStyleMedium2" showRowStripes="1"/>
</x:table>
</file>

<file path=xl/tables/table3.xml><?xml version="1.0" encoding="utf-8"?>
<x:table xmlns:x="http://schemas.openxmlformats.org/spreadsheetml/2006/main" id="3" name="Layer0BridgeTable" displayName="Layer0BridgeTable" ref="J5:R9" headerRowCount="1">
  <x:tableColumns count="9">
    <x:tableColumn id="1" name="Item ID"/>
    <x:tableColumn id="2" name="Topic"/>
    <x:tableColumn id="3" name="Question"/>
    <x:tableColumn id="4" name="Options"/>
    <x:tableColumn id="5" name="Response"/>
    <x:tableColumn id="6" name="Auto Score"/>
    <x:tableColumn id="7" name="Max"/>
    <x:tableColumn id="8" name="Result"/>
    <x:tableColumn id="9" name="Confidence"/>
  </x:tableColumns>
  <x:tableStyleInfo name="TableStyleMedium2" showRowStripes="1"/>
</x:table>
</file>

<file path=xl/tables/table4.xml><?xml version="1.0" encoding="utf-8"?>
<x:table xmlns:x="http://schemas.openxmlformats.org/spreadsheetml/2006/main" id="4" name="Layer0LearningPlanTable" displayName="Layer0LearningPlanTable" ref="A5:P15" headerRowCount="1">
  <x:tableColumns count="16">
    <x:tableColumn id="1" name="Topic"/>
    <x:tableColumn id="2" name="Topic Name"/>
    <x:tableColumn id="3" name="Entry Decision"/>
    <x:tableColumn id="4" name="Hard Prerequisites"/>
    <x:tableColumn id="5" name="Required Proficiency"/>
    <x:tableColumn id="6" name="Mastery Gate"/>
    <x:tableColumn id="7" name="Knowledge Type"/>
    <x:tableColumn id="8" name="Teaching Method"/>
    <x:tableColumn id="9" name="Core Learning Objective"/>
    <x:tableColumn id="10" name="Guided Study Activity"/>
    <x:tableColumn id="11" name="Practice Activity"/>
    <x:tableColumn id="12" name="Required Artifact"/>
    <x:tableColumn id="13" name="Topic Check IDs"/>
    <x:tableColumn id="14" name="Practical IDs"/>
    <x:tableColumn id="15" name="Exit Item IDs"/>
    <x:tableColumn id="16" name="Learning Status"/>
  </x:tableColumns>
  <x:tableStyleInfo name="TableStyleMedium2" showRowStripes="1"/>
</x:table>
</file>

<file path=xl/tables/table5.xml><?xml version="1.0" encoding="utf-8"?>
<x:table xmlns:x="http://schemas.openxmlformats.org/spreadsheetml/2006/main" id="5" name="Layer0TopicChecksTable" displayName="Layer0TopicChecksTable" ref="A5:R25" headerRowCount="1">
  <x:tableColumns count="18">
    <x:tableColumn id="1" name="Item ID"/>
    <x:tableColumn id="2" name="Topic"/>
    <x:tableColumn id="3" name="Topic Name"/>
    <x:tableColumn id="4" name="Question Type"/>
    <x:tableColumn id="5" name="Question"/>
    <x:tableColumn id="6" name="Options / Expected Format"/>
    <x:tableColumn id="7" name="Learner Response"/>
    <x:tableColumn id="8" name="Confidence"/>
    <x:tableColumn id="9" name="Auto Score"/>
    <x:tableColumn id="10" name="Assessor Score"/>
    <x:tableColumn id="11" name="Final Score"/>
    <x:tableColumn id="12" name="Max Score"/>
    <x:tableColumn id="13" name="Pass Threshold"/>
    <x:tableColumn id="14" name="Item Result"/>
    <x:tableColumn id="15" name="Gap Type"/>
    <x:tableColumn id="16" name="Remediation"/>
    <x:tableColumn id="17" name="Evidence / Feedback"/>
    <x:tableColumn id="18" name="Topic Score Helper"/>
  </x:tableColumns>
  <x:tableStyleInfo name="TableStyleMedium2" showRowStripes="1"/>
</x:table>
</file>

<file path=xl/tables/table6.xml><?xml version="1.0" encoding="utf-8"?>
<x:table xmlns:x="http://schemas.openxmlformats.org/spreadsheetml/2006/main" id="6" name="Layer0PracticalTable" displayName="Layer0PracticalTable" ref="A5:N11" headerRowCount="1">
  <x:tableColumns count="14">
    <x:tableColumn id="1" name="Practical ID"/>
    <x:tableColumn id="2" name="Related Topics"/>
    <x:tableColumn id="3" name="Title"/>
    <x:tableColumn id="4" name="Objective"/>
    <x:tableColumn id="5" name="Required Steps"/>
    <x:tableColumn id="6" name="Expected Artifact"/>
    <x:tableColumn id="7" name="Scoring Rubric"/>
    <x:tableColumn id="8" name="Max Score"/>
    <x:tableColumn id="9" name="Pass Threshold"/>
    <x:tableColumn id="10" name="Status"/>
    <x:tableColumn id="11" name="Artifact Location"/>
    <x:tableColumn id="12" name="Assessor Score"/>
    <x:tableColumn id="13" name="Result"/>
    <x:tableColumn id="14" name="Feedback / Required Corrections"/>
  </x:tableColumns>
  <x:tableStyleInfo name="TableStyleMedium2" showRowStripes="1"/>
</x:table>
</file>

<file path=xl/tables/table7.xml><?xml version="1.0" encoding="utf-8"?>
<x:table xmlns:x="http://schemas.openxmlformats.org/spreadsheetml/2006/main" id="7" name="Layer0ExitAssessmentTable" displayName="Layer0ExitAssessmentTable" ref="A5:R35" headerRowCount="1">
  <x:tableColumns count="18">
    <x:tableColumn id="1" name="Item ID"/>
    <x:tableColumn id="2" name="Topic"/>
    <x:tableColumn id="3" name="Topic Name"/>
    <x:tableColumn id="4" name="Question Type"/>
    <x:tableColumn id="5" name="Question"/>
    <x:tableColumn id="6" name="Options / Expected Format"/>
    <x:tableColumn id="7" name="Learner Response"/>
    <x:tableColumn id="8" name="Confidence"/>
    <x:tableColumn id="9" name="Auto Score"/>
    <x:tableColumn id="10" name="Assessor Score"/>
    <x:tableColumn id="11" name="Final Score"/>
    <x:tableColumn id="12" name="Max Score"/>
    <x:tableColumn id="13" name="Pass Threshold"/>
    <x:tableColumn id="14" name="Item Result"/>
    <x:tableColumn id="15" name="Gap Type"/>
    <x:tableColumn id="16" name="Remediation"/>
    <x:tableColumn id="17" name="Evidence / Feedback"/>
    <x:tableColumn id="18" name="Topic Score Helper"/>
  </x:tableColumns>
  <x:tableStyleInfo name="TableStyleMedium2" showRowStripes="1"/>
</x:table>
</file>

<file path=xl/tables/table8.xml><?xml version="1.0" encoding="utf-8"?>
<x:table xmlns:x="http://schemas.openxmlformats.org/spreadsheetml/2006/main" id="8" name="Layer0RemediationTable" displayName="Layer0RemediationTable" ref="A5:P15" headerRowCount="1">
  <x:tableColumns count="16">
    <x:tableColumn id="1" name="Topic"/>
    <x:tableColumn id="2" name="Topic Name"/>
    <x:tableColumn id="3" name="Topic Check %"/>
    <x:tableColumn id="4" name="Exit Score %"/>
    <x:tableColumn id="5" name="Exit Task Result"/>
    <x:tableColumn id="6" name="Related Practicals"/>
    <x:tableColumn id="7" name="Practical Status"/>
    <x:tableColumn id="8" name="Primary Gap Type"/>
    <x:tableColumn id="9" name="Recommended Remediation"/>
    <x:tableColumn id="10" name="Remediation Status"/>
    <x:tableColumn id="11" name="Reassessment Score %"/>
    <x:tableColumn id="12" name="Reassessment Approved"/>
    <x:tableColumn id="13" name="Reassessment Evidence"/>
    <x:tableColumn id="14" name="Final Topic Status"/>
    <x:tableColumn id="15" name="Next Action"/>
    <x:tableColumn id="16" name="Assessor Notes"/>
  </x:tableColumns>
  <x:tableStyleInfo name="TableStyleMedium2" showRowStripes="1"/>
</x:table>
</file>

<file path=xl/tables/table9.xml><?xml version="1.0" encoding="utf-8"?>
<x:table xmlns:x="http://schemas.openxmlformats.org/spreadsheetml/2006/main" id="9" name="Layer0SourcesTable" displayName="Layer0SourcesTable" ref="A5:D19" headerRowCount="1">
  <x:tableColumns count="4">
    <x:tableColumn id="1" name="Source"/>
    <x:tableColumn id="2" name="Purpose"/>
    <x:tableColumn id="3" name="URL"/>
    <x:tableColumn id="4" name="Verified D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baa3ab76924b0f" /></Relationships>
</file>

<file path=xl/worksheets/_rels/sheet2.xml.rels>&#65279;<?xml version="1.0" encoding="utf-8"?><Relationships xmlns="http://schemas.openxmlformats.org/package/2006/relationships"><Relationship Type="http://schemas.openxmlformats.org/officeDocument/2006/relationships/table" Target="/xl/tables/table2.xml" Id="R77a40067f933456b" /><Relationship Type="http://schemas.openxmlformats.org/officeDocument/2006/relationships/table" Target="/xl/tables/table3.xml" Id="Re1be2a0effa84c48" /></Relationships>
</file>

<file path=xl/worksheets/_rels/sheet3.xml.rels>&#65279;<?xml version="1.0" encoding="utf-8"?><Relationships xmlns="http://schemas.openxmlformats.org/package/2006/relationships"><Relationship Type="http://schemas.openxmlformats.org/officeDocument/2006/relationships/table" Target="/xl/tables/table4.xml" Id="R907eb0a99b5547ca" /></Relationships>
</file>

<file path=xl/worksheets/_rels/sheet4.xml.rels>&#65279;<?xml version="1.0" encoding="utf-8"?><Relationships xmlns="http://schemas.openxmlformats.org/package/2006/relationships"><Relationship Type="http://schemas.openxmlformats.org/officeDocument/2006/relationships/table" Target="/xl/tables/table5.xml" Id="Rd289f9bf6cc54ad5" /></Relationships>
</file>

<file path=xl/worksheets/_rels/sheet5.xml.rels>&#65279;<?xml version="1.0" encoding="utf-8"?><Relationships xmlns="http://schemas.openxmlformats.org/package/2006/relationships"><Relationship Type="http://schemas.openxmlformats.org/officeDocument/2006/relationships/table" Target="/xl/tables/table6.xml" Id="Rf73c066b08b44960" /></Relationships>
</file>

<file path=xl/worksheets/_rels/sheet6.xml.rels>&#65279;<?xml version="1.0" encoding="utf-8"?><Relationships xmlns="http://schemas.openxmlformats.org/package/2006/relationships"><Relationship Type="http://schemas.openxmlformats.org/officeDocument/2006/relationships/table" Target="/xl/tables/table7.xml" Id="R3f67762319124444" /></Relationships>
</file>

<file path=xl/worksheets/_rels/sheet7.xml.rels>&#65279;<?xml version="1.0" encoding="utf-8"?><Relationships xmlns="http://schemas.openxmlformats.org/package/2006/relationships"><Relationship Type="http://schemas.openxmlformats.org/officeDocument/2006/relationships/table" Target="/xl/tables/table8.xml" Id="R004ca79e2e4948df" /></Relationships>
</file>

<file path=xl/worksheets/_rels/sheet8.xml.rels>&#65279;<?xml version="1.0" encoding="utf-8"?><Relationships xmlns="http://schemas.openxmlformats.org/package/2006/relationships"><Relationship Type="http://schemas.openxmlformats.org/officeDocument/2006/relationships/drawing" Target="/xl/drawings/drawing1.xml" Id="R326b0819a70c4438" /></Relationships>
</file>

<file path=xl/worksheets/_rels/sheet10.xml.rels>&#65279;<?xml version="1.0" encoding="utf-8"?><Relationships xmlns="http://schemas.openxmlformats.org/package/2006/relationships"><Relationship Type="http://schemas.openxmlformats.org/officeDocument/2006/relationships/table" Target="/xl/tables/table9.xml" Id="R1854d14fa83d44c0" /></Relationships>
</file>

<file path=xl/worksheets/sheet1.xml><?xml version="1.0" encoding="utf-8"?>
<x:worksheet xmlns:x="http://schemas.openxmlformats.org/spreadsheetml/2006/main">
  <x:sheetFormatPr defaultRowHeight="15"/>
  <x:cols>
    <x:col min="1" max="1" width="17" hidden="0" customWidth="1"/>
    <x:col min="2" max="2" width="12" hidden="0" customWidth="1"/>
    <x:col min="3" max="3" width="11" hidden="0" customWidth="1"/>
    <x:col min="4" max="4" width="43" hidden="0" customWidth="1"/>
    <x:col min="5" max="5" width="20" hidden="0" customWidth="1"/>
    <x:col min="6" max="6" width="13" hidden="0" customWidth="1"/>
    <x:col min="7" max="7" width="72" hidden="0" customWidth="1"/>
    <x:col min="8" max="8" width="60" hidden="0" customWidth="1"/>
    <x:col min="9" max="9" width="11" hidden="0" customWidth="1"/>
    <x:col min="10" max="10" width="13" hidden="0" customWidth="1"/>
    <x:col min="11" max="11" width="24" hidden="0" customWidth="1"/>
    <x:col min="12" max="12" width="52" hidden="0" customWidth="1"/>
  </x:cols>
  <x:sheetData>
    <x:row r="1" ht="30" customHeight="1">
      <x:c r="A1" s="5" t="str">
        <x:v>Layer 0 Answer Key and Scoring Rubrics</x:v>
      </x:c>
      <x:c r="B1" s="5"/>
      <x:c r="C1" s="5"/>
      <x:c r="D1" s="5"/>
      <x:c r="E1" s="5"/>
      <x:c r="F1" s="5"/>
      <x:c r="G1" s="5"/>
      <x:c r="H1" s="5"/>
      <x:c r="I1" s="5"/>
      <x:c r="J1" s="5"/>
      <x:c r="K1" s="5"/>
      <x:c r="L1" s="5"/>
    </x:row>
    <x:row r="2" ht="38" customHeight="1">
      <x:c r="A2" s="13" t="str">
        <x:v>Multiple-choice items score automatically. For constructed responses, assess evidence against the expected answer and rubric. Do not award full credit for merely naming concepts or services without explaining relationships, selection rationale, or verification.</x:v>
      </x:c>
      <x:c r="B2" s="13"/>
      <x:c r="C2" s="13"/>
      <x:c r="D2" s="13"/>
      <x:c r="E2" s="13"/>
      <x:c r="F2" s="13"/>
      <x:c r="G2" s="13"/>
      <x:c r="H2" s="13"/>
      <x:c r="I2" s="13"/>
      <x:c r="J2" s="13"/>
      <x:c r="K2" s="13"/>
      <x:c r="L2" s="13"/>
    </x:row>
    <x:row r="3" ht="38" customHeight="1">
      <x:c r="A3" s="13"/>
      <x:c r="B3" s="13"/>
      <x:c r="C3" s="13"/>
      <x:c r="D3" s="13"/>
      <x:c r="E3" s="13"/>
      <x:c r="F3" s="13"/>
      <x:c r="G3" s="13"/>
      <x:c r="H3" s="13"/>
      <x:c r="I3" s="13"/>
      <x:c r="J3" s="13"/>
      <x:c r="K3" s="13"/>
      <x:c r="L3" s="13"/>
    </x:row>
    <x:row r="5" ht="42" customHeight="1">
      <x:c r="A5" s="22" t="str">
        <x:v>Assessment</x:v>
      </x:c>
      <x:c r="B5" s="22" t="str">
        <x:v>Item ID</x:v>
      </x:c>
      <x:c r="C5" s="22" t="str">
        <x:v>Topic Index</x:v>
      </x:c>
      <x:c r="D5" s="22" t="str">
        <x:v>Topic Name</x:v>
      </x:c>
      <x:c r="E5" s="22" t="str">
        <x:v>Question Type</x:v>
      </x:c>
      <x:c r="F5" s="22" t="str">
        <x:v>Correct Option</x:v>
      </x:c>
      <x:c r="G5" s="22" t="str">
        <x:v>Expected Answer / Evidence</x:v>
      </x:c>
      <x:c r="H5" s="22" t="str">
        <x:v>Scoring Rubric</x:v>
      </x:c>
      <x:c r="I5" s="22" t="str">
        <x:v>Max Score</x:v>
      </x:c>
      <x:c r="J5" s="22" t="str">
        <x:v>Pass Threshold</x:v>
      </x:c>
      <x:c r="K5" s="22" t="str">
        <x:v>Gap Type</x:v>
      </x:c>
      <x:c r="L5" s="22" t="str">
        <x:v>Recommended Remediation</x:v>
      </x:c>
    </x:row>
    <x:row r="6" ht="60" customHeight="1">
      <x:c r="A6" s="50" t="str">
        <x:v>Entry Bridge</x:v>
      </x:c>
      <x:c r="B6" s="51" t="str">
        <x:v>B07</x:v>
      </x:c>
      <x:c r="C6" s="51" t="n">
        <x:v>7</x:v>
      </x:c>
      <x:c r="D6" s="51" t="str">
        <x:v>Foundation-model capabilities, limitations, and basic model selection</x:v>
      </x:c>
      <x:c r="E6" s="51" t="str">
        <x:v>Multiple Choice</x:v>
      </x:c>
      <x:c r="F6" s="51" t="str">
        <x:v>C</x:v>
      </x:c>
      <x:c r="G6" s="33" t="str">
        <x:v>Model selection must be evidence-based and use representative requirements and evaluation data.</x:v>
      </x:c>
      <x:c r="H6" s="33" t="str">
        <x:v>2 points for the correct option; 0 otherwise.</x:v>
      </x:c>
      <x:c r="I6" s="51" t="n">
        <x:v>2</x:v>
      </x:c>
      <x:c r="J6" s="51" t="n">
        <x:v>2</x:v>
      </x:c>
      <x:c r="K6" s="33" t="str">
        <x:v>Conditional / Strategic</x:v>
      </x:c>
      <x:c r="L6" s="34" t="str">
        <x:v>Build a model scorecard and compare at least three plausible candidates.</x:v>
      </x:c>
    </x:row>
    <x:row r="7" ht="60" customHeight="1">
      <x:c r="A7" s="52" t="str">
        <x:v>Entry Bridge</x:v>
      </x:c>
      <x:c r="B7" s="53" t="str">
        <x:v>B08</x:v>
      </x:c>
      <x:c r="C7" s="53" t="n">
        <x:v>8</x:v>
      </x:c>
      <x:c r="D7" s="53" t="str">
        <x:v>Basic Amazon Bedrock model invocation</x:v>
      </x:c>
      <x:c r="E7" s="53" t="str">
        <x:v>Multiple Choice</x:v>
      </x:c>
      <x:c r="F7" s="53" t="str">
        <x:v>A</x:v>
      </x:c>
      <x:c r="G7" s="36" t="str">
        <x:v>The caller needs permission for bedrock:InvokeModel, scoped to the appropriate model resource where supported.</x:v>
      </x:c>
      <x:c r="H7" s="36" t="str">
        <x:v>2 points for the correct option; 0 otherwise.</x:v>
      </x:c>
      <x:c r="I7" s="53" t="n">
        <x:v>2</x:v>
      </x:c>
      <x:c r="J7" s="53" t="n">
        <x:v>2</x:v>
      </x:c>
      <x:c r="K7" s="36" t="str">
        <x:v>Procedural / Embedded</x:v>
      </x:c>
      <x:c r="L7" s="37" t="str">
        <x:v>Complete a basic Bedrock invocation with a least-privilege role and handle an AccessDeniedException.</x:v>
      </x:c>
    </x:row>
    <x:row r="8" ht="60" customHeight="1">
      <x:c r="A8" s="52" t="str">
        <x:v>Entry Bridge</x:v>
      </x:c>
      <x:c r="B8" s="53" t="str">
        <x:v>B09</x:v>
      </x:c>
      <x:c r="C8" s="53" t="n">
        <x:v>9</x:v>
      </x:c>
      <x:c r="D8" s="53" t="str">
        <x:v>Prompt fundamentals, instructions, templates, and structured outputs</x:v>
      </x:c>
      <x:c r="E8" s="53" t="str">
        <x:v>Multiple Choice</x:v>
      </x:c>
      <x:c r="F8" s="53" t="str">
        <x:v>D</x:v>
      </x:c>
      <x:c r="G8" s="36" t="str">
        <x:v>Structured output constraints plus deterministic validation are more reliable than natural-language formatting requests.</x:v>
      </x:c>
      <x:c r="H8" s="36" t="str">
        <x:v>2 points for the correct option; 0 otherwise.</x:v>
      </x:c>
      <x:c r="I8" s="53" t="n">
        <x:v>2</x:v>
      </x:c>
      <x:c r="J8" s="53" t="n">
        <x:v>2</x:v>
      </x:c>
      <x:c r="K8" s="36" t="str">
        <x:v>Procedural / Causal</x:v>
      </x:c>
      <x:c r="L8" s="37" t="str">
        <x:v>Create a prompt template with a JSON schema and validate success and failure cases.</x:v>
      </x:c>
    </x:row>
    <x:row r="9" ht="60" customHeight="1">
      <x:c r="A9" s="52" t="str">
        <x:v>Entry Bridge</x:v>
      </x:c>
      <x:c r="B9" s="53" t="str">
        <x:v>B10</x:v>
      </x:c>
      <x:c r="C9" s="53" t="n">
        <x:v>10</x:v>
      </x:c>
      <x:c r="D9" s="53" t="str">
        <x:v>Basic GenAI evaluation concepts and golden datasets</x:v>
      </x:c>
      <x:c r="E9" s="53" t="str">
        <x:v>Multiple Choice</x:v>
      </x:c>
      <x:c r="F9" s="53" t="str">
        <x:v>B</x:v>
      </x:c>
      <x:c r="G9" s="36" t="str">
        <x:v>A golden dataset enables repeatable quality comparison across prompts, models, and versions.</x:v>
      </x:c>
      <x:c r="H9" s="36" t="str">
        <x:v>2 points for the correct option; 0 otherwise.</x:v>
      </x:c>
      <x:c r="I9" s="53" t="n">
        <x:v>2</x:v>
      </x:c>
      <x:c r="J9" s="53" t="n">
        <x:v>2</x:v>
      </x:c>
      <x:c r="K9" s="36" t="str">
        <x:v>Conceptual / Procedural</x:v>
      </x:c>
      <x:c r="L9" s="37" t="str">
        <x:v>Create a small representative dataset with normal, edge, and failure cases plus explicit scoring criteria.</x:v>
      </x:c>
    </x:row>
    <x:row r="10" ht="60" customHeight="1">
      <x:c r="A10" s="52" t="str">
        <x:v>Topic Check</x:v>
      </x:c>
      <x:c r="B10" s="53" t="str">
        <x:v>TC01A</x:v>
      </x:c>
      <x:c r="C10" s="53" t="n">
        <x:v>1</x:v>
      </x:c>
      <x:c r="D10" s="53" t="str">
        <x:v>Foundation models and GenAI fundamentals</x:v>
      </x:c>
      <x:c r="E10" s="53" t="str">
        <x:v>Multiple Choice</x:v>
      </x:c>
      <x:c r="F10" s="53" t="str">
        <x:v>B</x:v>
      </x:c>
      <x:c r="G10" s="36" t="str">
        <x:v>Foundation models are broadly trained and reusable across tasks.</x:v>
      </x:c>
      <x:c r="H10" s="36" t="str">
        <x:v>2 points for the correct option; 0 otherwise.</x:v>
      </x:c>
      <x:c r="I10" s="53" t="n">
        <x:v>2</x:v>
      </x:c>
      <x:c r="J10" s="53" t="n">
        <x:v>2</x:v>
      </x:c>
      <x:c r="K10" s="36" t="str">
        <x:v>Conceptual</x:v>
      </x:c>
      <x:c r="L10" s="37" t="str">
        <x:v>Review foundation-model lifecycle and compare it with narrow task-specific systems.</x:v>
      </x:c>
    </x:row>
    <x:row r="11" ht="60" customHeight="1">
      <x:c r="A11" s="52" t="str">
        <x:v>Topic Check</x:v>
      </x:c>
      <x:c r="B11" s="53" t="str">
        <x:v>TC01B</x:v>
      </x:c>
      <x:c r="C11" s="53" t="n">
        <x:v>1</x:v>
      </x:c>
      <x:c r="D11" s="53" t="str">
        <x:v>Foundation models and GenAI fundamentals</x:v>
      </x:c>
      <x:c r="E11" s="53" t="str">
        <x:v>Constructed Response</x:v>
      </x:c>
      <x:c r="F11" s="53" t="str"/>
      <x:c r="G11" s="36" t="str">
        <x:v>Pre-training learns broad parameters; inference uses fixed trained parameters; prompting supplies instructions/context; RAG retrieves external context without changing weights; fine-tuning/customization updates some or all trainable parameters.</x:v>
      </x:c>
      <x:c r="H11" s="36" t="str">
        <x:v>8 = complete and independently demonstrated; 6–7 = meets mastery with minor omissions; 4–5 = partial; 1–3 = minimal; 0 = incorrect or absent.</x:v>
      </x:c>
      <x:c r="I11" s="53" t="n">
        <x:v>8</x:v>
      </x:c>
      <x:c r="J11" s="53" t="n">
        <x:v>6</x:v>
      </x:c>
      <x:c r="K11" s="36" t="str">
        <x:v>Conceptual</x:v>
      </x:c>
      <x:c r="L11" s="37" t="str">
        <x:v>Reconstruct the FM lifecycle from memory and classify five examples.</x:v>
      </x:c>
    </x:row>
    <x:row r="12" ht="60" customHeight="1">
      <x:c r="A12" s="52" t="str">
        <x:v>Topic Check</x:v>
      </x:c>
      <x:c r="B12" s="53" t="str">
        <x:v>TC02A</x:v>
      </x:c>
      <x:c r="C12" s="53" t="n">
        <x:v>2</x:v>
      </x:c>
      <x:c r="D12" s="53" t="str">
        <x:v>Tokens, context windows, inference, temperature, top-k, and top-p</x:v>
      </x:c>
      <x:c r="E12" s="53" t="str">
        <x:v>Multiple Choice</x:v>
      </x:c>
      <x:c r="F12" s="53" t="str">
        <x:v>A</x:v>
      </x:c>
      <x:c r="G12" s="36" t="str">
        <x:v>The context window limits the token budget available to the interaction.</x:v>
      </x:c>
      <x:c r="H12" s="36" t="str">
        <x:v>2 points for the correct option; 0 otherwise.</x:v>
      </x:c>
      <x:c r="I12" s="53" t="n">
        <x:v>2</x:v>
      </x:c>
      <x:c r="J12" s="53" t="n">
        <x:v>2</x:v>
      </x:c>
      <x:c r="K12" s="36" t="str">
        <x:v>Declarative / Conceptual</x:v>
      </x:c>
      <x:c r="L12" s="37" t="str">
        <x:v>Work token-budget examples that include system instructions, user input, retrieved context, and output.</x:v>
      </x:c>
    </x:row>
    <x:row r="13" ht="60" customHeight="1">
      <x:c r="A13" s="52" t="str">
        <x:v>Topic Check</x:v>
      </x:c>
      <x:c r="B13" s="53" t="str">
        <x:v>TC02B</x:v>
      </x:c>
      <x:c r="C13" s="53" t="n">
        <x:v>2</x:v>
      </x:c>
      <x:c r="D13" s="53" t="str">
        <x:v>Tokens, context windows, inference, temperature, top-k, and top-p</x:v>
      </x:c>
      <x:c r="E13" s="53" t="str">
        <x:v>Constructed Response</x:v>
      </x:c>
      <x:c r="F13" s="53" t="str"/>
      <x:c r="G13" s="36" t="str">
        <x:v>Lower sampling randomness generally narrows candidate selection and increases consistency, but exact supported parameters and behavior vary by model/API; deterministic validation remains necessary for critical tasks.</x:v>
      </x:c>
      <x:c r="H13" s="36" t="str">
        <x:v>8 = complete and independently demonstrated; 6–7 = meets mastery with minor omissions; 4–5 = partial; 1–3 = minimal; 0 = incorrect or absent.</x:v>
      </x:c>
      <x:c r="I13" s="53" t="n">
        <x:v>8</x:v>
      </x:c>
      <x:c r="J13" s="53" t="n">
        <x:v>6</x:v>
      </x:c>
      <x:c r="K13" s="36" t="str">
        <x:v>Causal / Conditional</x:v>
      </x:c>
      <x:c r="L13" s="37" t="str">
        <x:v>Run controlled parameter experiments while holding the prompt and model constant.</x:v>
      </x:c>
    </x:row>
    <x:row r="14" ht="60" customHeight="1">
      <x:c r="A14" s="52" t="str">
        <x:v>Topic Check</x:v>
      </x:c>
      <x:c r="B14" s="53" t="str">
        <x:v>TC03A</x:v>
      </x:c>
      <x:c r="C14" s="53" t="n">
        <x:v>3</x:v>
      </x:c>
      <x:c r="D14" s="53" t="str">
        <x:v>AWS GenAI service landscape: Bedrock, SageMaker AI, Lambda, API Gateway, Step Functions, SQS, EventBridge, S3, DynamoDB, OpenSearch, CloudWatch, X-Ray, IAM</x:v>
      </x:c>
      <x:c r="E14" s="53" t="str">
        <x:v>Multiple Choice</x:v>
      </x:c>
      <x:c r="F14" s="53" t="str">
        <x:v>A</x:v>
      </x:c>
      <x:c r="G14" s="36" t="str">
        <x:v>Amazon Bedrock provides managed access to foundation models and GenAI capabilities.</x:v>
      </x:c>
      <x:c r="H14" s="36" t="str">
        <x:v>2 points for the correct option; 0 otherwise.</x:v>
      </x:c>
      <x:c r="I14" s="53" t="n">
        <x:v>2</x:v>
      </x:c>
      <x:c r="J14" s="53" t="n">
        <x:v>2</x:v>
      </x:c>
      <x:c r="K14" s="36" t="str">
        <x:v>Declarative / Embedded</x:v>
      </x:c>
      <x:c r="L14" s="37" t="str">
        <x:v>Create a service map linking Bedrock, application integration, data, security, and observability services.</x:v>
      </x:c>
    </x:row>
    <x:row r="15" ht="60" customHeight="1">
      <x:c r="A15" s="52" t="str">
        <x:v>Topic Check</x:v>
      </x:c>
      <x:c r="B15" s="53" t="str">
        <x:v>TC03B</x:v>
      </x:c>
      <x:c r="C15" s="53" t="n">
        <x:v>3</x:v>
      </x:c>
      <x:c r="D15" s="53" t="str">
        <x:v>AWS GenAI service landscape: Bedrock, SageMaker AI, Lambda, API Gateway, Step Functions, SQS, EventBridge, S3, DynamoDB, OpenSearch, CloudWatch, X-Ray, IAM</x:v>
      </x:c>
      <x:c r="E15" s="53" t="str">
        <x:v>Constructed Response</x:v>
      </x:c>
      <x:c r="F15" s="53" t="str"/>
      <x:c r="G15" s="36" t="str">
        <x:v>The map should correctly separate user/API entry, compute/orchestration, model invocation, storage/retrieval, state, security, and observability responsibilities.</x:v>
      </x:c>
      <x:c r="H15" s="36" t="str">
        <x:v>8 = complete and independently demonstrated; 6–7 = meets mastery with minor omissions; 4–5 = partial; 1–3 = minimal; 0 = incorrect or absent.</x:v>
      </x:c>
      <x:c r="I15" s="53" t="n">
        <x:v>8</x:v>
      </x:c>
      <x:c r="J15" s="53" t="n">
        <x:v>6</x:v>
      </x:c>
      <x:c r="K15" s="36" t="str">
        <x:v>Conceptual / Embedded</x:v>
      </x:c>
      <x:c r="L15" s="37" t="str">
        <x:v>Redo the map using request flow rather than memorizing a service list.</x:v>
      </x:c>
    </x:row>
    <x:row r="16" ht="60" customHeight="1">
      <x:c r="A16" s="52" t="str">
        <x:v>Topic Check</x:v>
      </x:c>
      <x:c r="B16" s="53" t="str">
        <x:v>TC04A</x:v>
      </x:c>
      <x:c r="C16" s="53" t="n">
        <x:v>4</x:v>
      </x:c>
      <x:c r="D16" s="53" t="str">
        <x:v>API, event-driven, serverless, container, and workflow fundamentals</x:v>
      </x:c>
      <x:c r="E16" s="53" t="str">
        <x:v>Multiple Choice</x:v>
      </x:c>
      <x:c r="F16" s="53" t="str">
        <x:v>A</x:v>
      </x:c>
      <x:c r="G16" s="36" t="str">
        <x:v>Asynchronous queue/workflow patterns decouple long-running work.</x:v>
      </x:c>
      <x:c r="H16" s="36" t="str">
        <x:v>2 points for the correct option; 0 otherwise.</x:v>
      </x:c>
      <x:c r="I16" s="53" t="n">
        <x:v>2</x:v>
      </x:c>
      <x:c r="J16" s="53" t="n">
        <x:v>2</x:v>
      </x:c>
      <x:c r="K16" s="36" t="str">
        <x:v>Conditional</x:v>
      </x:c>
      <x:c r="L16" s="37" t="str">
        <x:v>Classify workloads into synchronous, streaming, asynchronous, event-driven, and workflow patterns.</x:v>
      </x:c>
    </x:row>
    <x:row r="17" ht="60" customHeight="1">
      <x:c r="A17" s="52" t="str">
        <x:v>Topic Check</x:v>
      </x:c>
      <x:c r="B17" s="53" t="str">
        <x:v>TC04B</x:v>
      </x:c>
      <x:c r="C17" s="53" t="n">
        <x:v>4</x:v>
      </x:c>
      <x:c r="D17" s="53" t="str">
        <x:v>API, event-driven, serverless, container, and workflow fundamentals</x:v>
      </x:c>
      <x:c r="E17" s="53" t="str">
        <x:v>Constructed Response</x:v>
      </x:c>
      <x:c r="F17" s="53" t="str"/>
      <x:c r="G17" s="36" t="str">
        <x:v>The answer must distinguish interaction timing, component coupling, execution duration, state/orchestration, scaling, and failure recovery.</x:v>
      </x:c>
      <x:c r="H17" s="36" t="str">
        <x:v>8 = complete and independently demonstrated; 6–7 = meets mastery with minor omissions; 4–5 = partial; 1–3 = minimal; 0 = incorrect or absent.</x:v>
      </x:c>
      <x:c r="I17" s="53" t="n">
        <x:v>8</x:v>
      </x:c>
      <x:c r="J17" s="53" t="n">
        <x:v>6</x:v>
      </x:c>
      <x:c r="K17" s="36" t="str">
        <x:v>Conditional / Strategic</x:v>
      </x:c>
      <x:c r="L17" s="37" t="str">
        <x:v>Redesign one workload using two alternatives and defend the better choice.</x:v>
      </x:c>
    </x:row>
    <x:row r="18" ht="60" customHeight="1">
      <x:c r="A18" s="52" t="str">
        <x:v>Topic Check</x:v>
      </x:c>
      <x:c r="B18" s="53" t="str">
        <x:v>TC05A</x:v>
      </x:c>
      <x:c r="C18" s="53" t="n">
        <x:v>5</x:v>
      </x:c>
      <x:c r="D18" s="53" t="str">
        <x:v>IAM, trust boundaries, least privilege, networking, and data-protection fundamentals</x:v>
      </x:c>
      <x:c r="E18" s="53" t="str">
        <x:v>Multiple Choice</x:v>
      </x:c>
      <x:c r="F18" s="53" t="str">
        <x:v>C</x:v>
      </x:c>
      <x:c r="G18" s="36" t="str">
        <x:v>Least privilege grants only necessary actions on necessary resources to the workload identity.</x:v>
      </x:c>
      <x:c r="H18" s="36" t="str">
        <x:v>2 points for the correct option; 0 otherwise.</x:v>
      </x:c>
      <x:c r="I18" s="53" t="n">
        <x:v>2</x:v>
      </x:c>
      <x:c r="J18" s="53" t="n">
        <x:v>2</x:v>
      </x:c>
      <x:c r="K18" s="36" t="str">
        <x:v>Normative / Embedded</x:v>
      </x:c>
      <x:c r="L18" s="37" t="str">
        <x:v>Write and test a narrowly scoped execution role and denied-operation cases.</x:v>
      </x:c>
    </x:row>
    <x:row r="19" ht="60" customHeight="1">
      <x:c r="A19" s="52" t="str">
        <x:v>Topic Check</x:v>
      </x:c>
      <x:c r="B19" s="53" t="str">
        <x:v>TC05B</x:v>
      </x:c>
      <x:c r="C19" s="53" t="n">
        <x:v>5</x:v>
      </x:c>
      <x:c r="D19" s="53" t="str">
        <x:v>IAM, trust boundaries, least privilege, networking, and data-protection fundamentals</x:v>
      </x:c>
      <x:c r="E19" s="53" t="str">
        <x:v>Constructed Response</x:v>
      </x:c>
      <x:c r="F19" s="53" t="str"/>
      <x:c r="G19" s="36" t="str">
        <x:v>The solution must identify distinct trust zones and apply authentication, authorization, data protection, network restrictions, validation, and audit controls at crossings.</x:v>
      </x:c>
      <x:c r="H19" s="36" t="str">
        <x:v>8 = complete and independently demonstrated; 6–7 = meets mastery with minor omissions; 4–5 = partial; 1–3 = minimal; 0 = incorrect or absent.</x:v>
      </x:c>
      <x:c r="I19" s="53" t="n">
        <x:v>8</x:v>
      </x:c>
      <x:c r="J19" s="53" t="n">
        <x:v>6</x:v>
      </x:c>
      <x:c r="K19" s="36" t="str">
        <x:v>Strategic / Normative</x:v>
      </x:c>
      <x:c r="L19" s="37" t="str">
        <x:v>Use threat and trust-boundary analysis, then verify denied data and API paths.</x:v>
      </x:c>
    </x:row>
    <x:row r="20" ht="60" customHeight="1">
      <x:c r="A20" s="52" t="str">
        <x:v>Topic Check</x:v>
      </x:c>
      <x:c r="B20" s="53" t="str">
        <x:v>TC06A</x:v>
      </x:c>
      <x:c r="C20" s="53" t="n">
        <x:v>6</x:v>
      </x:c>
      <x:c r="D20" s="53" t="str">
        <x:v>GenAI requirements analysis and basic solution architecture</x:v>
      </x:c>
      <x:c r="E20" s="53" t="str">
        <x:v>Multiple Choice</x:v>
      </x:c>
      <x:c r="F20" s="53" t="str">
        <x:v>A</x:v>
      </x:c>
      <x:c r="G20" s="36" t="str">
        <x:v>Architecture starts with measurable requirements and constraints.</x:v>
      </x:c>
      <x:c r="H20" s="36" t="str">
        <x:v>2 points for the correct option; 0 otherwise.</x:v>
      </x:c>
      <x:c r="I20" s="53" t="n">
        <x:v>2</x:v>
      </x:c>
      <x:c r="J20" s="53" t="n">
        <x:v>2</x:v>
      </x:c>
      <x:c r="K20" s="36" t="str">
        <x:v>Strategic</x:v>
      </x:c>
      <x:c r="L20" s="37" t="str">
        <x:v>Practice converting ambiguous requests into measurable functional and nonfunctional requirements.</x:v>
      </x:c>
    </x:row>
    <x:row r="21" ht="60" customHeight="1">
      <x:c r="A21" s="52" t="str">
        <x:v>Topic Check</x:v>
      </x:c>
      <x:c r="B21" s="53" t="str">
        <x:v>TC06B</x:v>
      </x:c>
      <x:c r="C21" s="53" t="n">
        <x:v>6</x:v>
      </x:c>
      <x:c r="D21" s="53" t="str">
        <x:v>GenAI requirements analysis and basic solution architecture</x:v>
      </x:c>
      <x:c r="E21" s="53" t="str">
        <x:v>Constructed Response</x:v>
      </x:c>
      <x:c r="F21" s="53" t="str"/>
      <x:c r="G21" s="36" t="str">
        <x:v>A sound design connects measurable requirements to model access, application integration, protected data, identity, observability, evaluation, and explicit trade-offs.</x:v>
      </x:c>
      <x:c r="H21" s="36" t="str">
        <x:v>8 = complete and independently demonstrated; 6–7 = meets mastery with minor omissions; 4–5 = partial; 1–3 = minimal; 0 = incorrect or absent.</x:v>
      </x:c>
      <x:c r="I21" s="53" t="n">
        <x:v>8</x:v>
      </x:c>
      <x:c r="J21" s="53" t="n">
        <x:v>6</x:v>
      </x:c>
      <x:c r="K21" s="36" t="str">
        <x:v>Strategic / Tacit</x:v>
      </x:c>
      <x:c r="L21" s="37" t="str">
        <x:v>Complete a requirements-to-design case and defend why plausible alternatives were rejected.</x:v>
      </x:c>
    </x:row>
    <x:row r="22" ht="60" customHeight="1">
      <x:c r="A22" s="52" t="str">
        <x:v>Topic Check</x:v>
      </x:c>
      <x:c r="B22" s="53" t="str">
        <x:v>TC07A</x:v>
      </x:c>
      <x:c r="C22" s="53" t="n">
        <x:v>7</x:v>
      </x:c>
      <x:c r="D22" s="53" t="str">
        <x:v>Foundation-model capabilities, limitations, and basic model selection</x:v>
      </x:c>
      <x:c r="E22" s="53" t="str">
        <x:v>Multiple Choice</x:v>
      </x:c>
      <x:c r="F22" s="53" t="str">
        <x:v>D</x:v>
      </x:c>
      <x:c r="G22" s="36" t="str">
        <x:v>Parameter count or popularity alone does not establish fitness for a workload.</x:v>
      </x:c>
      <x:c r="H22" s="36" t="str">
        <x:v>2 points for the correct option; 0 otherwise.</x:v>
      </x:c>
      <x:c r="I22" s="53" t="n">
        <x:v>2</x:v>
      </x:c>
      <x:c r="J22" s="53" t="n">
        <x:v>2</x:v>
      </x:c>
      <x:c r="K22" s="36" t="str">
        <x:v>Conditional / Strategic</x:v>
      </x:c>
      <x:c r="L22" s="37" t="str">
        <x:v>Build a weighted scorecard from real workload requirements.</x:v>
      </x:c>
    </x:row>
    <x:row r="23" ht="60" customHeight="1">
      <x:c r="A23" s="52" t="str">
        <x:v>Topic Check</x:v>
      </x:c>
      <x:c r="B23" s="53" t="str">
        <x:v>TC07B</x:v>
      </x:c>
      <x:c r="C23" s="53" t="n">
        <x:v>7</x:v>
      </x:c>
      <x:c r="D23" s="53" t="str">
        <x:v>Foundation-model capabilities, limitations, and basic model selection</x:v>
      </x:c>
      <x:c r="E23" s="53" t="str">
        <x:v>Constructed Response</x:v>
      </x:c>
      <x:c r="F23" s="53" t="str"/>
      <x:c r="G23" s="36" t="str">
        <x:v>The recommendation must be evidence-based, use representative criteria, acknowledge uncertainty, and reject alternatives for explicit reasons.</x:v>
      </x:c>
      <x:c r="H23" s="36" t="str">
        <x:v>8 = complete and independently demonstrated; 6–7 = meets mastery with minor omissions; 4–5 = partial; 1–3 = minimal; 0 = incorrect or absent.</x:v>
      </x:c>
      <x:c r="I23" s="53" t="n">
        <x:v>8</x:v>
      </x:c>
      <x:c r="J23" s="53" t="n">
        <x:v>6</x:v>
      </x:c>
      <x:c r="K23" s="36" t="str">
        <x:v>Strategic</x:v>
      </x:c>
      <x:c r="L23" s="37" t="str">
        <x:v>Repeat the model-selection exercise with a different workload and constraints.</x:v>
      </x:c>
    </x:row>
    <x:row r="24" ht="60" customHeight="1">
      <x:c r="A24" s="52" t="str">
        <x:v>Topic Check</x:v>
      </x:c>
      <x:c r="B24" s="53" t="str">
        <x:v>TC08A</x:v>
      </x:c>
      <x:c r="C24" s="53" t="n">
        <x:v>8</x:v>
      </x:c>
      <x:c r="D24" s="53" t="str">
        <x:v>Basic Amazon Bedrock model invocation</x:v>
      </x:c>
      <x:c r="E24" s="53" t="str">
        <x:v>Multiple Choice</x:v>
      </x:c>
      <x:c r="F24" s="53" t="str">
        <x:v>A</x:v>
      </x:c>
      <x:c r="G24" s="36" t="str">
        <x:v>Converse/ConverseStream provide a consistent message-based inference interface for supported models.</x:v>
      </x:c>
      <x:c r="H24" s="36" t="str">
        <x:v>2 points for the correct option; 0 otherwise.</x:v>
      </x:c>
      <x:c r="I24" s="53" t="n">
        <x:v>2</x:v>
      </x:c>
      <x:c r="J24" s="53" t="n">
        <x:v>2</x:v>
      </x:c>
      <x:c r="K24" s="36" t="str">
        <x:v>Declarative / Embedded</x:v>
      </x:c>
      <x:c r="L24" s="37" t="str">
        <x:v>Compare InvokeModel with Converse and identify model/API compatibility.</x:v>
      </x:c>
    </x:row>
    <x:row r="25" ht="60" customHeight="1">
      <x:c r="A25" s="52" t="str">
        <x:v>Topic Check</x:v>
      </x:c>
      <x:c r="B25" s="53" t="str">
        <x:v>TC08B</x:v>
      </x:c>
      <x:c r="C25" s="53" t="n">
        <x:v>8</x:v>
      </x:c>
      <x:c r="D25" s="53" t="str">
        <x:v>Basic Amazon Bedrock model invocation</x:v>
      </x:c>
      <x:c r="E25" s="53" t="str">
        <x:v>Constructed Response</x:v>
      </x:c>
      <x:c r="F25" s="53" t="str"/>
      <x:c r="G25" s="36" t="str">
        <x:v>The artifact should use an appropriate SDK/API, workload identity or temporary credentials, correct payload, bounded retries, error handling, and observable results.</x:v>
      </x:c>
      <x:c r="H25" s="36" t="str">
        <x:v>8 = complete and independently demonstrated; 6–7 = meets mastery with minor omissions; 4–5 = partial; 1–3 = minimal; 0 = incorrect or absent.</x:v>
      </x:c>
      <x:c r="I25" s="53" t="n">
        <x:v>8</x:v>
      </x:c>
      <x:c r="J25" s="53" t="n">
        <x:v>6</x:v>
      </x:c>
      <x:c r="K25" s="36" t="str">
        <x:v>Procedural / Embedded</x:v>
      </x:c>
      <x:c r="L25" s="37" t="str">
        <x:v>Complete the Bedrock quickstart and then reproduce it without copying the sample.</x:v>
      </x:c>
    </x:row>
    <x:row r="26" ht="60" customHeight="1">
      <x:c r="A26" s="52" t="str">
        <x:v>Topic Check</x:v>
      </x:c>
      <x:c r="B26" s="53" t="str">
        <x:v>TC09A</x:v>
      </x:c>
      <x:c r="C26" s="53" t="n">
        <x:v>9</x:v>
      </x:c>
      <x:c r="D26" s="53" t="str">
        <x:v>Prompt fundamentals, instructions, templates, and structured outputs</x:v>
      </x:c>
      <x:c r="E26" s="53" t="str">
        <x:v>Multiple Choice</x:v>
      </x:c>
      <x:c r="F26" s="53" t="str">
        <x:v>A</x:v>
      </x:c>
      <x:c r="G26" s="36" t="str">
        <x:v>Versioned templates with variables and clear boundaries improve repeatability and maintainability.</x:v>
      </x:c>
      <x:c r="H26" s="36" t="str">
        <x:v>2 points for the correct option; 0 otherwise.</x:v>
      </x:c>
      <x:c r="I26" s="53" t="n">
        <x:v>2</x:v>
      </x:c>
      <x:c r="J26" s="53" t="n">
        <x:v>2</x:v>
      </x:c>
      <x:c r="K26" s="36" t="str">
        <x:v>Procedural</x:v>
      </x:c>
      <x:c r="L26" s="37" t="str">
        <x:v>Convert an ad hoc prompt into a reusable, versioned template.</x:v>
      </x:c>
    </x:row>
    <x:row r="27" ht="60" customHeight="1">
      <x:c r="A27" s="52" t="str">
        <x:v>Topic Check</x:v>
      </x:c>
      <x:c r="B27" s="53" t="str">
        <x:v>TC09B</x:v>
      </x:c>
      <x:c r="C27" s="53" t="n">
        <x:v>9</x:v>
      </x:c>
      <x:c r="D27" s="53" t="str">
        <x:v>Prompt fundamentals, instructions, templates, and structured outputs</x:v>
      </x:c>
      <x:c r="E27" s="53" t="str">
        <x:v>Constructed Response</x:v>
      </x:c>
      <x:c r="F27" s="53" t="str"/>
      <x:c r="G27" s="36" t="str">
        <x:v>The prompt should define task, context boundaries, schema, missing-data behavior, and validation; tests should include normal and malformed inputs.</x:v>
      </x:c>
      <x:c r="H27" s="36" t="str">
        <x:v>8 = complete and independently demonstrated; 6–7 = meets mastery with minor omissions; 4–5 = partial; 1–3 = minimal; 0 = incorrect or absent.</x:v>
      </x:c>
      <x:c r="I27" s="53" t="n">
        <x:v>8</x:v>
      </x:c>
      <x:c r="J27" s="53" t="n">
        <x:v>6</x:v>
      </x:c>
      <x:c r="K27" s="36" t="str">
        <x:v>Procedural / Causal</x:v>
      </x:c>
      <x:c r="L27" s="37" t="str">
        <x:v>Iterate against a fixed test set until schema failures are controlled without critical regression.</x:v>
      </x:c>
    </x:row>
    <x:row r="28" ht="60" customHeight="1">
      <x:c r="A28" s="52" t="str">
        <x:v>Topic Check</x:v>
      </x:c>
      <x:c r="B28" s="53" t="str">
        <x:v>TC10A</x:v>
      </x:c>
      <x:c r="C28" s="53" t="n">
        <x:v>10</x:v>
      </x:c>
      <x:c r="D28" s="53" t="str">
        <x:v>Basic GenAI evaluation concepts and golden datasets</x:v>
      </x:c>
      <x:c r="E28" s="53" t="str">
        <x:v>Multiple Choice</x:v>
      </x:c>
      <x:c r="F28" s="53" t="str">
        <x:v>B</x:v>
      </x:c>
      <x:c r="G28" s="36" t="str">
        <x:v>Evaluation requires representative, repeatable inputs and explicit criteria.</x:v>
      </x:c>
      <x:c r="H28" s="36" t="str">
        <x:v>2 points for the correct option; 0 otherwise.</x:v>
      </x:c>
      <x:c r="I28" s="53" t="n">
        <x:v>2</x:v>
      </x:c>
      <x:c r="J28" s="53" t="n">
        <x:v>2</x:v>
      </x:c>
      <x:c r="K28" s="36" t="str">
        <x:v>Conceptual / Procedural</x:v>
      </x:c>
      <x:c r="L28" s="37" t="str">
        <x:v>Create a small golden set with coverage rationale and scoring criteria.</x:v>
      </x:c>
    </x:row>
    <x:row r="29" ht="60" customHeight="1">
      <x:c r="A29" s="52" t="str">
        <x:v>Topic Check</x:v>
      </x:c>
      <x:c r="B29" s="53" t="str">
        <x:v>TC10B</x:v>
      </x:c>
      <x:c r="C29" s="53" t="n">
        <x:v>10</x:v>
      </x:c>
      <x:c r="D29" s="53" t="str">
        <x:v>Basic GenAI evaluation concepts and golden datasets</x:v>
      </x:c>
      <x:c r="E29" s="53" t="str">
        <x:v>Constructed Response</x:v>
      </x:c>
      <x:c r="F29" s="53" t="str"/>
      <x:c r="G29" s="36" t="str">
        <x:v>The evaluation must be repeatable, representative, metric-driven, and connected to a justified release or rejection decision.</x:v>
      </x:c>
      <x:c r="H29" s="36" t="str">
        <x:v>8 = complete and independently demonstrated; 6–7 = meets mastery with minor omissions; 4–5 = partial; 1–3 = minimal; 0 = incorrect or absent.</x:v>
      </x:c>
      <x:c r="I29" s="53" t="n">
        <x:v>8</x:v>
      </x:c>
      <x:c r="J29" s="53" t="n">
        <x:v>6</x:v>
      </x:c>
      <x:c r="K29" s="36" t="str">
        <x:v>Procedural / Strategic</x:v>
      </x:c>
      <x:c r="L29" s="37" t="str">
        <x:v>Revise the dataset and rubric to cover the failure modes missed in the first evaluation.</x:v>
      </x:c>
    </x:row>
    <x:row r="30" ht="60" customHeight="1">
      <x:c r="A30" s="52" t="str">
        <x:v>Exit Assessment</x:v>
      </x:c>
      <x:c r="B30" s="53" t="str">
        <x:v>E01A</x:v>
      </x:c>
      <x:c r="C30" s="53" t="n">
        <x:v>1</x:v>
      </x:c>
      <x:c r="D30" s="53" t="str">
        <x:v>Foundation models and GenAI fundamentals</x:v>
      </x:c>
      <x:c r="E30" s="53" t="str">
        <x:v>Multiple Choice</x:v>
      </x:c>
      <x:c r="F30" s="53" t="str">
        <x:v>C</x:v>
      </x:c>
      <x:c r="G30" s="36" t="str">
        <x:v>Fine-tuning/customization changes trainable parameters; inference and RAG do not.</x:v>
      </x:c>
      <x:c r="H30" s="36" t="str">
        <x:v>2 points for the correct option; 0 otherwise.</x:v>
      </x:c>
      <x:c r="I30" s="53" t="n">
        <x:v>2</x:v>
      </x:c>
      <x:c r="J30" s="53" t="n">
        <x:v>2</x:v>
      </x:c>
      <x:c r="K30" s="36" t="str">
        <x:v>Conceptual</x:v>
      </x:c>
      <x:c r="L30" s="37" t="str">
        <x:v>Review which techniques change weights, context, orchestration, or evaluation only.</x:v>
      </x:c>
    </x:row>
    <x:row r="31" ht="60" customHeight="1">
      <x:c r="A31" s="52" t="str">
        <x:v>Exit Assessment</x:v>
      </x:c>
      <x:c r="B31" s="53" t="str">
        <x:v>E01B</x:v>
      </x:c>
      <x:c r="C31" s="53" t="n">
        <x:v>1</x:v>
      </x:c>
      <x:c r="D31" s="53" t="str">
        <x:v>Foundation models and GenAI fundamentals</x:v>
      </x:c>
      <x:c r="E31" s="53" t="str">
        <x:v>Multiple Choice</x:v>
      </x:c>
      <x:c r="F31" s="53" t="str">
        <x:v>A</x:v>
      </x:c>
      <x:c r="G31" s="36" t="str">
        <x:v>Broad pretraining and adaptation/prompting enable reuse across tasks.</x:v>
      </x:c>
      <x:c r="H31" s="36" t="str">
        <x:v>2 points for the correct option; 0 otherwise.</x:v>
      </x:c>
      <x:c r="I31" s="53" t="n">
        <x:v>2</x:v>
      </x:c>
      <x:c r="J31" s="53" t="n">
        <x:v>2</x:v>
      </x:c>
      <x:c r="K31" s="36" t="str">
        <x:v>Conceptual</x:v>
      </x:c>
      <x:c r="L31" s="37" t="str">
        <x:v>Compare foundation models with narrow task-specific models.</x:v>
      </x:c>
    </x:row>
    <x:row r="32" ht="60" customHeight="1">
      <x:c r="A32" s="52" t="str">
        <x:v>Exit Assessment</x:v>
      </x:c>
      <x:c r="B32" s="53" t="str">
        <x:v>E01C</x:v>
      </x:c>
      <x:c r="C32" s="53" t="n">
        <x:v>1</x:v>
      </x:c>
      <x:c r="D32" s="53" t="str">
        <x:v>Foundation models and GenAI fundamentals</x:v>
      </x:c>
      <x:c r="E32" s="53" t="str">
        <x:v>Constructed Response</x:v>
      </x:c>
      <x:c r="F32" s="53" t="str"/>
      <x:c r="G32" s="36" t="str">
        <x:v>The answer must correctly distinguish external context from parameter updates, explain operational and data implications, and recommend the least complex effective technique.</x:v>
      </x:c>
      <x:c r="H32" s="36" t="str">
        <x:v>6 = complete, accurate, structured, and justified; 4–5 = meets mastery with limited omissions; 2–3 = partial; 1 = minimal; 0 = incorrect or absent.</x:v>
      </x:c>
      <x:c r="I32" s="53" t="n">
        <x:v>6</x:v>
      </x:c>
      <x:c r="J32" s="53" t="n">
        <x:v>4</x:v>
      </x:c>
      <x:c r="K32" s="36" t="str">
        <x:v>Conditional / Strategic</x:v>
      </x:c>
      <x:c r="L32" s="37" t="str">
        <x:v>Classify ten solution requests into prompting, RAG, fine-tuning, or deeper training.</x:v>
      </x:c>
    </x:row>
    <x:row r="33" ht="60" customHeight="1">
      <x:c r="A33" s="52" t="str">
        <x:v>Exit Assessment</x:v>
      </x:c>
      <x:c r="B33" s="53" t="str">
        <x:v>E02A</x:v>
      </x:c>
      <x:c r="C33" s="53" t="n">
        <x:v>2</x:v>
      </x:c>
      <x:c r="D33" s="53" t="str">
        <x:v>Tokens, context windows, inference, temperature, top-k, and top-p</x:v>
      </x:c>
      <x:c r="E33" s="53" t="str">
        <x:v>Multiple Choice</x:v>
      </x:c>
      <x:c r="F33" s="53" t="str">
        <x:v>A</x:v>
      </x:c>
      <x:c r="G33" s="36" t="str">
        <x:v>All tokens considered in the interaction consume context capacity.</x:v>
      </x:c>
      <x:c r="H33" s="36" t="str">
        <x:v>2 points for the correct option; 0 otherwise.</x:v>
      </x:c>
      <x:c r="I33" s="53" t="n">
        <x:v>2</x:v>
      </x:c>
      <x:c r="J33" s="53" t="n">
        <x:v>2</x:v>
      </x:c>
      <x:c r="K33" s="36" t="str">
        <x:v>Declarative</x:v>
      </x:c>
      <x:c r="L33" s="37" t="str">
        <x:v>Create a token budget for a realistic request.</x:v>
      </x:c>
    </x:row>
    <x:row r="34" ht="60" customHeight="1">
      <x:c r="A34" s="52" t="str">
        <x:v>Exit Assessment</x:v>
      </x:c>
      <x:c r="B34" s="53" t="str">
        <x:v>E02B</x:v>
      </x:c>
      <x:c r="C34" s="53" t="n">
        <x:v>2</x:v>
      </x:c>
      <x:c r="D34" s="53" t="str">
        <x:v>Tokens, context windows, inference, temperature, top-k, and top-p</x:v>
      </x:c>
      <x:c r="E34" s="53" t="str">
        <x:v>Multiple Choice</x:v>
      </x:c>
      <x:c r="F34" s="53" t="str">
        <x:v>B</x:v>
      </x:c>
      <x:c r="G34" s="36" t="str">
        <x:v>Controlled sampling plus structured validation supports consistency.</x:v>
      </x:c>
      <x:c r="H34" s="36" t="str">
        <x:v>2 points for the correct option; 0 otherwise.</x:v>
      </x:c>
      <x:c r="I34" s="53" t="n">
        <x:v>2</x:v>
      </x:c>
      <x:c r="J34" s="53" t="n">
        <x:v>2</x:v>
      </x:c>
      <x:c r="K34" s="36" t="str">
        <x:v>Conditional</x:v>
      </x:c>
      <x:c r="L34" s="37" t="str">
        <x:v>Experiment with sampling settings and structured labels.</x:v>
      </x:c>
    </x:row>
    <x:row r="35" ht="60" customHeight="1">
      <x:c r="A35" s="52" t="str">
        <x:v>Exit Assessment</x:v>
      </x:c>
      <x:c r="B35" s="53" t="str">
        <x:v>E02C</x:v>
      </x:c>
      <x:c r="C35" s="53" t="n">
        <x:v>2</x:v>
      </x:c>
      <x:c r="D35" s="53" t="str">
        <x:v>Tokens, context windows, inference, temperature, top-k, and top-p</x:v>
      </x:c>
      <x:c r="E35" s="53" t="str">
        <x:v>Constructed Response</x:v>
      </x:c>
      <x:c r="F35" s="53" t="str"/>
      <x:c r="G35" s="36" t="str">
        <x:v>The response should measure each token component, remove irrelevant history/context, improve retrieval/chunking, summarize where appropriate, cap output, preserve essential instructions, and retest quality.</x:v>
      </x:c>
      <x:c r="H35" s="36" t="str">
        <x:v>6 = complete, accurate, structured, and justified; 4–5 = meets mastery with limited omissions; 2–3 = partial; 1 = minimal; 0 = incorrect or absent.</x:v>
      </x:c>
      <x:c r="I35" s="53" t="n">
        <x:v>6</x:v>
      </x:c>
      <x:c r="J35" s="53" t="n">
        <x:v>4</x:v>
      </x:c>
      <x:c r="K35" s="36" t="str">
        <x:v>Causal / Diagnostic</x:v>
      </x:c>
      <x:c r="L35" s="37" t="str">
        <x:v>Perform a context-overflow lab with a token waterfall.</x:v>
      </x:c>
    </x:row>
    <x:row r="36" ht="60" customHeight="1">
      <x:c r="A36" s="52" t="str">
        <x:v>Exit Assessment</x:v>
      </x:c>
      <x:c r="B36" s="53" t="str">
        <x:v>E03A</x:v>
      </x:c>
      <x:c r="C36" s="53" t="n">
        <x:v>3</x:v>
      </x:c>
      <x:c r="D36" s="53" t="str">
        <x:v>AWS GenAI service landscape: Bedrock, SageMaker AI, Lambda, API Gateway, Step Functions, SQS, EventBridge, S3, DynamoDB, OpenSearch, CloudWatch, X-Ray, IAM</x:v>
      </x:c>
      <x:c r="E36" s="53" t="str">
        <x:v>Multiple Choice</x:v>
      </x:c>
      <x:c r="F36" s="53" t="str">
        <x:v>A</x:v>
      </x:c>
      <x:c r="G36" s="36" t="str">
        <x:v>API Gateway provides managed API endpoints and policies.</x:v>
      </x:c>
      <x:c r="H36" s="36" t="str">
        <x:v>2 points for the correct option; 0 otherwise.</x:v>
      </x:c>
      <x:c r="I36" s="53" t="n">
        <x:v>2</x:v>
      </x:c>
      <x:c r="J36" s="53" t="n">
        <x:v>2</x:v>
      </x:c>
      <x:c r="K36" s="36" t="str">
        <x:v>Declarative / Embedded</x:v>
      </x:c>
      <x:c r="L36" s="37" t="str">
        <x:v>Rebuild the Layer 0 service map by request flow.</x:v>
      </x:c>
    </x:row>
    <x:row r="37" ht="60" customHeight="1">
      <x:c r="A37" s="52" t="str">
        <x:v>Exit Assessment</x:v>
      </x:c>
      <x:c r="B37" s="53" t="str">
        <x:v>E03B</x:v>
      </x:c>
      <x:c r="C37" s="53" t="n">
        <x:v>3</x:v>
      </x:c>
      <x:c r="D37" s="53" t="str">
        <x:v>AWS GenAI service landscape: Bedrock, SageMaker AI, Lambda, API Gateway, Step Functions, SQS, EventBridge, S3, DynamoDB, OpenSearch, CloudWatch, X-Ray, IAM</x:v>
      </x:c>
      <x:c r="E37" s="53" t="str">
        <x:v>Multiple Choice</x:v>
      </x:c>
      <x:c r="F37" s="53" t="str">
        <x:v>A</x:v>
      </x:c>
      <x:c r="G37" s="36" t="str">
        <x:v>CloudWatch and X-Ray provide logs, metrics, traces, and correlated diagnostics.</x:v>
      </x:c>
      <x:c r="H37" s="36" t="str">
        <x:v>2 points for the correct option; 0 otherwise.</x:v>
      </x:c>
      <x:c r="I37" s="53" t="n">
        <x:v>2</x:v>
      </x:c>
      <x:c r="J37" s="53" t="n">
        <x:v>2</x:v>
      </x:c>
      <x:c r="K37" s="36" t="str">
        <x:v>Embedded</x:v>
      </x:c>
      <x:c r="L37" s="37" t="str">
        <x:v>Instrument a simple request path and follow its trace.</x:v>
      </x:c>
    </x:row>
    <x:row r="38" ht="60" customHeight="1">
      <x:c r="A38" s="52" t="str">
        <x:v>Exit Assessment</x:v>
      </x:c>
      <x:c r="B38" s="53" t="str">
        <x:v>E03C</x:v>
      </x:c>
      <x:c r="C38" s="53" t="n">
        <x:v>3</x:v>
      </x:c>
      <x:c r="D38" s="53" t="str">
        <x:v>AWS GenAI service landscape: Bedrock, SageMaker AI, Lambda, API Gateway, Step Functions, SQS, EventBridge, S3, DynamoDB, OpenSearch, CloudWatch, X-Ray, IAM</x:v>
      </x:c>
      <x:c r="E38" s="53" t="str">
        <x:v>Constructed Response</x:v>
      </x:c>
      <x:c r="F38" s="53" t="str"/>
      <x:c r="G38" s="36" t="str">
        <x:v>The answer should map services by responsibility, avoid overlapping or inappropriate roles, and show identity, data, request, and telemetry flows.</x:v>
      </x:c>
      <x:c r="H38" s="36" t="str">
        <x:v>6 = complete, accurate, structured, and justified; 4–5 = meets mastery with limited omissions; 2–3 = partial; 1 = minimal; 0 = incorrect or absent.</x:v>
      </x:c>
      <x:c r="I38" s="53" t="n">
        <x:v>6</x:v>
      </x:c>
      <x:c r="J38" s="53" t="n">
        <x:v>4</x:v>
      </x:c>
      <x:c r="K38" s="36" t="str">
        <x:v>Conceptual / Embedded</x:v>
      </x:c>
      <x:c r="L38" s="37" t="str">
        <x:v>Repeat the service-selection case with a serverless and a containerized alternative.</x:v>
      </x:c>
    </x:row>
    <x:row r="39" ht="60" customHeight="1">
      <x:c r="A39" s="52" t="str">
        <x:v>Exit Assessment</x:v>
      </x:c>
      <x:c r="B39" s="53" t="str">
        <x:v>E04A</x:v>
      </x:c>
      <x:c r="C39" s="53" t="n">
        <x:v>4</x:v>
      </x:c>
      <x:c r="D39" s="53" t="str">
        <x:v>API, event-driven, serverless, container, and workflow fundamentals</x:v>
      </x:c>
      <x:c r="E39" s="53" t="str">
        <x:v>Multiple Choice</x:v>
      </x:c>
      <x:c r="F39" s="53" t="str">
        <x:v>A</x:v>
      </x:c>
      <x:c r="G39" s="36" t="str">
        <x:v>Streaming delivers partial output and reduces perceived latency.</x:v>
      </x:c>
      <x:c r="H39" s="36" t="str">
        <x:v>2 points for the correct option; 0 otherwise.</x:v>
      </x:c>
      <x:c r="I39" s="53" t="n">
        <x:v>2</x:v>
      </x:c>
      <x:c r="J39" s="53" t="n">
        <x:v>2</x:v>
      </x:c>
      <x:c r="K39" s="36" t="str">
        <x:v>Conditional</x:v>
      </x:c>
      <x:c r="L39" s="37" t="str">
        <x:v>Compare time-to-first-token and full response time.</x:v>
      </x:c>
    </x:row>
    <x:row r="40" ht="60" customHeight="1">
      <x:c r="A40" s="52" t="str">
        <x:v>Exit Assessment</x:v>
      </x:c>
      <x:c r="B40" s="53" t="str">
        <x:v>E04B</x:v>
      </x:c>
      <x:c r="C40" s="53" t="n">
        <x:v>4</x:v>
      </x:c>
      <x:c r="D40" s="53" t="str">
        <x:v>API, event-driven, serverless, container, and workflow fundamentals</x:v>
      </x:c>
      <x:c r="E40" s="53" t="str">
        <x:v>Multiple Choice</x:v>
      </x:c>
      <x:c r="F40" s="53" t="str">
        <x:v>A</x:v>
      </x:c>
      <x:c r="G40" s="36" t="str">
        <x:v>Step Functions coordinates stateful multi-step workflows and failure behavior.</x:v>
      </x:c>
      <x:c r="H40" s="36" t="str">
        <x:v>2 points for the correct option; 0 otherwise.</x:v>
      </x:c>
      <x:c r="I40" s="53" t="n">
        <x:v>2</x:v>
      </x:c>
      <x:c r="J40" s="53" t="n">
        <x:v>2</x:v>
      </x:c>
      <x:c r="K40" s="36" t="str">
        <x:v>Conditional / Embedded</x:v>
      </x:c>
      <x:c r="L40" s="37" t="str">
        <x:v>Model a multi-step GenAI workflow with branches and retry policies.</x:v>
      </x:c>
    </x:row>
    <x:row r="41" ht="60" customHeight="1">
      <x:c r="A41" s="52" t="str">
        <x:v>Exit Assessment</x:v>
      </x:c>
      <x:c r="B41" s="53" t="str">
        <x:v>E04C</x:v>
      </x:c>
      <x:c r="C41" s="53" t="n">
        <x:v>4</x:v>
      </x:c>
      <x:c r="D41" s="53" t="str">
        <x:v>API, event-driven, serverless, container, and workflow fundamentals</x:v>
      </x:c>
      <x:c r="E41" s="53" t="str">
        <x:v>Constructed Response</x:v>
      </x:c>
      <x:c r="F41" s="53" t="str"/>
      <x:c r="G41" s="36" t="str">
        <x:v>A sound answer decouples submission, tracks a job ID/state, uses durable queue/workflow, bounded retries and idempotency, stores results, publishes progress/completion, and exposes status retrieval.</x:v>
      </x:c>
      <x:c r="H41" s="36" t="str">
        <x:v>6 = complete, accurate, structured, and justified; 4–5 = meets mastery with limited omissions; 2–3 = partial; 1 = minimal; 0 = incorrect or absent.</x:v>
      </x:c>
      <x:c r="I41" s="53" t="n">
        <x:v>6</x:v>
      </x:c>
      <x:c r="J41" s="53" t="n">
        <x:v>4</x:v>
      </x:c>
      <x:c r="K41" s="36" t="str">
        <x:v>Strategic / Causal</x:v>
      </x:c>
      <x:c r="L41" s="37" t="str">
        <x:v>Implement a job-submission/status pattern and inject a worker failure.</x:v>
      </x:c>
    </x:row>
    <x:row r="42" ht="60" customHeight="1">
      <x:c r="A42" s="52" t="str">
        <x:v>Exit Assessment</x:v>
      </x:c>
      <x:c r="B42" s="53" t="str">
        <x:v>E05A</x:v>
      </x:c>
      <x:c r="C42" s="53" t="n">
        <x:v>5</x:v>
      </x:c>
      <x:c r="D42" s="53" t="str">
        <x:v>IAM, trust boundaries, least privilege, networking, and data-protection fundamentals</x:v>
      </x:c>
      <x:c r="E42" s="53" t="str">
        <x:v>Multiple Choice</x:v>
      </x:c>
      <x:c r="F42" s="53" t="str">
        <x:v>A</x:v>
      </x:c>
      <x:c r="G42" s="36" t="str">
        <x:v>Workload identities require narrowly scoped permissions.</x:v>
      </x:c>
      <x:c r="H42" s="36" t="str">
        <x:v>2 points for the correct option; 0 otherwise.</x:v>
      </x:c>
      <x:c r="I42" s="53" t="n">
        <x:v>2</x:v>
      </x:c>
      <x:c r="J42" s="53" t="n">
        <x:v>2</x:v>
      </x:c>
      <x:c r="K42" s="36" t="str">
        <x:v>Normative / Embedded</x:v>
      </x:c>
      <x:c r="L42" s="37" t="str">
        <x:v>Test allowed and denied calls with a least-privilege role.</x:v>
      </x:c>
    </x:row>
    <x:row r="43" ht="60" customHeight="1">
      <x:c r="A43" s="52" t="str">
        <x:v>Exit Assessment</x:v>
      </x:c>
      <x:c r="B43" s="53" t="str">
        <x:v>E05B</x:v>
      </x:c>
      <x:c r="C43" s="53" t="n">
        <x:v>5</x:v>
      </x:c>
      <x:c r="D43" s="53" t="str">
        <x:v>IAM, trust boundaries, least privilege, networking, and data-protection fundamentals</x:v>
      </x:c>
      <x:c r="E43" s="53" t="str">
        <x:v>Multiple Choice</x:v>
      </x:c>
      <x:c r="F43" s="53" t="str">
        <x:v>A</x:v>
      </x:c>
      <x:c r="G43" s="36" t="str">
        <x:v>Trust-boundary crossings require explicit controls based on changed assumptions and risk.</x:v>
      </x:c>
      <x:c r="H43" s="36" t="str">
        <x:v>2 points for the correct option; 0 otherwise.</x:v>
      </x:c>
      <x:c r="I43" s="53" t="n">
        <x:v>2</x:v>
      </x:c>
      <x:c r="J43" s="53" t="n">
        <x:v>2</x:v>
      </x:c>
      <x:c r="K43" s="36" t="str">
        <x:v>Conceptual / Normative</x:v>
      </x:c>
      <x:c r="L43" s="37" t="str">
        <x:v>Mark trust boundaries and assign preventive and detective controls.</x:v>
      </x:c>
    </x:row>
    <x:row r="44" ht="60" customHeight="1">
      <x:c r="A44" s="52" t="str">
        <x:v>Exit Assessment</x:v>
      </x:c>
      <x:c r="B44" s="53" t="str">
        <x:v>E05C</x:v>
      </x:c>
      <x:c r="C44" s="53" t="n">
        <x:v>5</x:v>
      </x:c>
      <x:c r="D44" s="53" t="str">
        <x:v>IAM, trust boundaries, least privilege, networking, and data-protection fundamentals</x:v>
      </x:c>
      <x:c r="E44" s="53" t="str">
        <x:v>Constructed Response</x:v>
      </x:c>
      <x:c r="F44" s="53" t="str"/>
      <x:c r="G44" s="36" t="str">
        <x:v>The redesign should narrow identities/actions/resources, authenticate users, isolate data by purpose, protect network/data, validate input/output, avoid sensitive logging, and retain reconstructable audit evidence.</x:v>
      </x:c>
      <x:c r="H44" s="36" t="str">
        <x:v>6 = complete, accurate, structured, and justified; 4–5 = meets mastery with limited omissions; 2–3 = partial; 1 = minimal; 0 = incorrect or absent.</x:v>
      </x:c>
      <x:c r="I44" s="53" t="n">
        <x:v>6</x:v>
      </x:c>
      <x:c r="J44" s="53" t="n">
        <x:v>4</x:v>
      </x:c>
      <x:c r="K44" s="36" t="str">
        <x:v>Strategic / Diagnostic</x:v>
      </x:c>
      <x:c r="L44" s="37" t="str">
        <x:v>Perform a least-privilege and trust-boundary review using denied test cases.</x:v>
      </x:c>
    </x:row>
    <x:row r="45" ht="60" customHeight="1">
      <x:c r="A45" s="52" t="str">
        <x:v>Exit Assessment</x:v>
      </x:c>
      <x:c r="B45" s="53" t="str">
        <x:v>E06A</x:v>
      </x:c>
      <x:c r="C45" s="53" t="n">
        <x:v>6</x:v>
      </x:c>
      <x:c r="D45" s="53" t="str">
        <x:v>GenAI requirements analysis and basic solution architecture</x:v>
      </x:c>
      <x:c r="E45" s="53" t="str">
        <x:v>Multiple Choice</x:v>
      </x:c>
      <x:c r="F45" s="53" t="str">
        <x:v>B</x:v>
      </x:c>
      <x:c r="G45" s="36" t="str">
        <x:v>Measurable requirements define users, quality, behavior, latency, and workload.</x:v>
      </x:c>
      <x:c r="H45" s="36" t="str">
        <x:v>2 points for the correct option; 0 otherwise.</x:v>
      </x:c>
      <x:c r="I45" s="53" t="n">
        <x:v>2</x:v>
      </x:c>
      <x:c r="J45" s="53" t="n">
        <x:v>2</x:v>
      </x:c>
      <x:c r="K45" s="36" t="str">
        <x:v>Strategic</x:v>
      </x:c>
      <x:c r="L45" s="37" t="str">
        <x:v>Rewrite vague requirements into measurable acceptance criteria.</x:v>
      </x:c>
    </x:row>
    <x:row r="46" ht="60" customHeight="1">
      <x:c r="A46" s="52" t="str">
        <x:v>Exit Assessment</x:v>
      </x:c>
      <x:c r="B46" s="53" t="str">
        <x:v>E06B</x:v>
      </x:c>
      <x:c r="C46" s="53" t="n">
        <x:v>6</x:v>
      </x:c>
      <x:c r="D46" s="53" t="str">
        <x:v>GenAI requirements analysis and basic solution architecture</x:v>
      </x:c>
      <x:c r="E46" s="53" t="str">
        <x:v>Multiple Choice</x:v>
      </x:c>
      <x:c r="F46" s="53" t="str">
        <x:v>A</x:v>
      </x:c>
      <x:c r="G46" s="36" t="str">
        <x:v>ADRs make architectural choices and trade-offs explicit and reviewable.</x:v>
      </x:c>
      <x:c r="H46" s="36" t="str">
        <x:v>2 points for the correct option; 0 otherwise.</x:v>
      </x:c>
      <x:c r="I46" s="53" t="n">
        <x:v>2</x:v>
      </x:c>
      <x:c r="J46" s="53" t="n">
        <x:v>2</x:v>
      </x:c>
      <x:c r="K46" s="36" t="str">
        <x:v>Strategic / Explicit</x:v>
      </x:c>
      <x:c r="L46" s="37" t="str">
        <x:v>Write an ADR for model/API selection.</x:v>
      </x:c>
    </x:row>
    <x:row r="47" ht="60" customHeight="1">
      <x:c r="A47" s="52" t="str">
        <x:v>Exit Assessment</x:v>
      </x:c>
      <x:c r="B47" s="53" t="str">
        <x:v>E06C</x:v>
      </x:c>
      <x:c r="C47" s="53" t="n">
        <x:v>6</x:v>
      </x:c>
      <x:c r="D47" s="53" t="str">
        <x:v>GenAI requirements analysis and basic solution architecture</x:v>
      </x:c>
      <x:c r="E47" s="53" t="str">
        <x:v>Constructed Response</x:v>
      </x:c>
      <x:c r="F47" s="53" t="str"/>
      <x:c r="G47" s="36" t="str">
        <x:v>The response should scope the MVP to feasibility/value evidence while defining production controls, nonfunctional requirements, testing, monitoring, failure handling, and promotion gates.</x:v>
      </x:c>
      <x:c r="H47" s="36" t="str">
        <x:v>6 = complete, accurate, structured, and justified; 4–5 = meets mastery with limited omissions; 2–3 = partial; 1 = minimal; 0 = incorrect or absent.</x:v>
      </x:c>
      <x:c r="I47" s="53" t="n">
        <x:v>6</x:v>
      </x:c>
      <x:c r="J47" s="53" t="n">
        <x:v>4</x:v>
      </x:c>
      <x:c r="K47" s="36" t="str">
        <x:v>Strategic / Tacit</x:v>
      </x:c>
      <x:c r="L47" s="37" t="str">
        <x:v>Create a proof-of-concept plan with falsifiable success criteria.</x:v>
      </x:c>
    </x:row>
    <x:row r="48" ht="60" customHeight="1">
      <x:c r="A48" s="52" t="str">
        <x:v>Exit Assessment</x:v>
      </x:c>
      <x:c r="B48" s="53" t="str">
        <x:v>E07A</x:v>
      </x:c>
      <x:c r="C48" s="53" t="n">
        <x:v>7</x:v>
      </x:c>
      <x:c r="D48" s="53" t="str">
        <x:v>Foundation-model capabilities, limitations, and basic model selection</x:v>
      </x:c>
      <x:c r="E48" s="53" t="str">
        <x:v>Multiple Choice</x:v>
      </x:c>
      <x:c r="F48" s="53" t="str">
        <x:v>A</x:v>
      </x:c>
      <x:c r="G48" s="36" t="str">
        <x:v>Model selection must use workload-representative evidence.</x:v>
      </x:c>
      <x:c r="H48" s="36" t="str">
        <x:v>2 points for the correct option; 0 otherwise.</x:v>
      </x:c>
      <x:c r="I48" s="53" t="n">
        <x:v>2</x:v>
      </x:c>
      <x:c r="J48" s="53" t="n">
        <x:v>2</x:v>
      </x:c>
      <x:c r="K48" s="36" t="str">
        <x:v>Conditional / Strategic</x:v>
      </x:c>
      <x:c r="L48" s="37" t="str">
        <x:v>Create a representative selection dataset and weighted criteria.</x:v>
      </x:c>
    </x:row>
    <x:row r="49" ht="60" customHeight="1">
      <x:c r="A49" s="52" t="str">
        <x:v>Exit Assessment</x:v>
      </x:c>
      <x:c r="B49" s="53" t="str">
        <x:v>E07B</x:v>
      </x:c>
      <x:c r="C49" s="53" t="n">
        <x:v>7</x:v>
      </x:c>
      <x:c r="D49" s="53" t="str">
        <x:v>Foundation-model capabilities, limitations, and basic model selection</x:v>
      </x:c>
      <x:c r="E49" s="53" t="str">
        <x:v>Multiple Choice</x:v>
      </x:c>
      <x:c r="F49" s="53" t="str">
        <x:v>A</x:v>
      </x:c>
      <x:c r="G49" s="36" t="str">
        <x:v>Use the least costly model that meets requirements, with evidence and monitoring.</x:v>
      </x:c>
      <x:c r="H49" s="36" t="str">
        <x:v>2 points for the correct option; 0 otherwise.</x:v>
      </x:c>
      <x:c r="I49" s="53" t="n">
        <x:v>2</x:v>
      </x:c>
      <x:c r="J49" s="53" t="n">
        <x:v>2</x:v>
      </x:c>
      <x:c r="K49" s="36" t="str">
        <x:v>Strategic</x:v>
      </x:c>
      <x:c r="L49" s="37" t="str">
        <x:v>Practice quality-cost-latency trade-off decisions.</x:v>
      </x:c>
    </x:row>
    <x:row r="50" ht="60" customHeight="1">
      <x:c r="A50" s="52" t="str">
        <x:v>Exit Assessment</x:v>
      </x:c>
      <x:c r="B50" s="53" t="str">
        <x:v>E07C</x:v>
      </x:c>
      <x:c r="C50" s="53" t="n">
        <x:v>7</x:v>
      </x:c>
      <x:c r="D50" s="53" t="str">
        <x:v>Foundation-model capabilities, limitations, and basic model selection</x:v>
      </x:c>
      <x:c r="E50" s="53" t="str">
        <x:v>Constructed Response</x:v>
      </x:c>
      <x:c r="F50" s="53" t="str"/>
      <x:c r="G50" s="36" t="str">
        <x:v>The response must use weighted evidence, state uncertainty, test representative data, and explain why alternatives are less suitable.</x:v>
      </x:c>
      <x:c r="H50" s="36" t="str">
        <x:v>6 = complete, accurate, structured, and justified; 4–5 = meets mastery with limited omissions; 2–3 = partial; 1 = minimal; 0 = incorrect or absent.</x:v>
      </x:c>
      <x:c r="I50" s="53" t="n">
        <x:v>6</x:v>
      </x:c>
      <x:c r="J50" s="53" t="n">
        <x:v>4</x:v>
      </x:c>
      <x:c r="K50" s="36" t="str">
        <x:v>Strategic / Conditional</x:v>
      </x:c>
      <x:c r="L50" s="37" t="str">
        <x:v>Re-run model selection after changing one major constraint.</x:v>
      </x:c>
    </x:row>
    <x:row r="51" ht="60" customHeight="1">
      <x:c r="A51" s="52" t="str">
        <x:v>Exit Assessment</x:v>
      </x:c>
      <x:c r="B51" s="53" t="str">
        <x:v>E08A</x:v>
      </x:c>
      <x:c r="C51" s="53" t="n">
        <x:v>8</x:v>
      </x:c>
      <x:c r="D51" s="53" t="str">
        <x:v>Basic Amazon Bedrock model invocation</x:v>
      </x:c>
      <x:c r="E51" s="53" t="str">
        <x:v>Multiple Choice</x:v>
      </x:c>
      <x:c r="F51" s="53" t="str">
        <x:v>A</x:v>
      </x:c>
      <x:c r="G51" s="36" t="str">
        <x:v>InvokeModel runs inference on a specified model.</x:v>
      </x:c>
      <x:c r="H51" s="36" t="str">
        <x:v>2 points for the correct option; 0 otherwise.</x:v>
      </x:c>
      <x:c r="I51" s="53" t="n">
        <x:v>2</x:v>
      </x:c>
      <x:c r="J51" s="53" t="n">
        <x:v>2</x:v>
      </x:c>
      <x:c r="K51" s="36" t="str">
        <x:v>Declarative / Embedded</x:v>
      </x:c>
      <x:c r="L51" s="37" t="str">
        <x:v>Trace an InvokeModel request and response.</x:v>
      </x:c>
    </x:row>
    <x:row r="52" ht="60" customHeight="1">
      <x:c r="A52" s="52" t="str">
        <x:v>Exit Assessment</x:v>
      </x:c>
      <x:c r="B52" s="53" t="str">
        <x:v>E08B</x:v>
      </x:c>
      <x:c r="C52" s="53" t="n">
        <x:v>8</x:v>
      </x:c>
      <x:c r="D52" s="53" t="str">
        <x:v>Basic Amazon Bedrock model invocation</x:v>
      </x:c>
      <x:c r="E52" s="53" t="str">
        <x:v>Multiple Choice</x:v>
      </x:c>
      <x:c r="F52" s="53" t="str">
        <x:v>A</x:v>
      </x:c>
      <x:c r="G52" s="36" t="str">
        <x:v>Production workloads should use managed workload identity and temporary credentials.</x:v>
      </x:c>
      <x:c r="H52" s="36" t="str">
        <x:v>2 points for the correct option; 0 otherwise.</x:v>
      </x:c>
      <x:c r="I52" s="53" t="n">
        <x:v>2</x:v>
      </x:c>
      <x:c r="J52" s="53" t="n">
        <x:v>2</x:v>
      </x:c>
      <x:c r="K52" s="36" t="str">
        <x:v>Normative / Embedded</x:v>
      </x:c>
      <x:c r="L52" s="37" t="str">
        <x:v>Replace static credentials with an execution role.</x:v>
      </x:c>
    </x:row>
    <x:row r="53" ht="60" customHeight="1">
      <x:c r="A53" s="52" t="str">
        <x:v>Exit Assessment</x:v>
      </x:c>
      <x:c r="B53" s="53" t="str">
        <x:v>E08C</x:v>
      </x:c>
      <x:c r="C53" s="53" t="n">
        <x:v>8</x:v>
      </x:c>
      <x:c r="D53" s="53" t="str">
        <x:v>Basic Amazon Bedrock model invocation</x:v>
      </x:c>
      <x:c r="E53" s="53" t="str">
        <x:v>Constructed Response</x:v>
      </x:c>
      <x:c r="F53" s="53" t="str"/>
      <x:c r="G53" s="36" t="str">
        <x:v>The submission must be independently executable, use safe credentials, parse output correctly, handle bounded failures, and provide observable evidence.</x:v>
      </x:c>
      <x:c r="H53" s="36" t="str">
        <x:v>6 = complete, accurate, structured, and justified; 4–5 = meets mastery with limited omissions; 2–3 = partial; 1 = minimal; 0 = incorrect or absent.</x:v>
      </x:c>
      <x:c r="I53" s="53" t="n">
        <x:v>6</x:v>
      </x:c>
      <x:c r="J53" s="53" t="n">
        <x:v>4</x:v>
      </x:c>
      <x:c r="K53" s="36" t="str">
        <x:v>Procedural / Diagnostic</x:v>
      </x:c>
      <x:c r="L53" s="37" t="str">
        <x:v>Repeat the invocation from a clean environment and troubleshoot an injected permission or throttling error.</x:v>
      </x:c>
    </x:row>
    <x:row r="54" ht="60" customHeight="1">
      <x:c r="A54" s="52" t="str">
        <x:v>Exit Assessment</x:v>
      </x:c>
      <x:c r="B54" s="53" t="str">
        <x:v>E09A</x:v>
      </x:c>
      <x:c r="C54" s="53" t="n">
        <x:v>9</x:v>
      </x:c>
      <x:c r="D54" s="53" t="str">
        <x:v>Prompt fundamentals, instructions, templates, and structured outputs</x:v>
      </x:c>
      <x:c r="E54" s="53" t="str">
        <x:v>Multiple Choice</x:v>
      </x:c>
      <x:c r="F54" s="53" t="str">
        <x:v>A</x:v>
      </x:c>
      <x:c r="G54" s="36" t="str">
        <x:v>Missing-data behavior should be explicit and validated.</x:v>
      </x:c>
      <x:c r="H54" s="36" t="str">
        <x:v>2 points for the correct option; 0 otherwise.</x:v>
      </x:c>
      <x:c r="I54" s="53" t="n">
        <x:v>2</x:v>
      </x:c>
      <x:c r="J54" s="53" t="n">
        <x:v>2</x:v>
      </x:c>
      <x:c r="K54" s="36" t="str">
        <x:v>Procedural / Normative</x:v>
      </x:c>
      <x:c r="L54" s="37" t="str">
        <x:v>Add missing and conflicting inputs to the prompt regression set.</x:v>
      </x:c>
    </x:row>
    <x:row r="55" ht="60" customHeight="1">
      <x:c r="A55" s="52" t="str">
        <x:v>Exit Assessment</x:v>
      </x:c>
      <x:c r="B55" s="53" t="str">
        <x:v>E09B</x:v>
      </x:c>
      <x:c r="C55" s="53" t="n">
        <x:v>9</x:v>
      </x:c>
      <x:c r="D55" s="53" t="str">
        <x:v>Prompt fundamentals, instructions, templates, and structured outputs</x:v>
      </x:c>
      <x:c r="E55" s="53" t="str">
        <x:v>Multiple Choice</x:v>
      </x:c>
      <x:c r="F55" s="53" t="str">
        <x:v>A</x:v>
      </x:c>
      <x:c r="G55" s="36" t="str">
        <x:v>Versioning enables controlled change and traceability.</x:v>
      </x:c>
      <x:c r="H55" s="36" t="str">
        <x:v>2 points for the correct option; 0 otherwise.</x:v>
      </x:c>
      <x:c r="I55" s="53" t="n">
        <x:v>2</x:v>
      </x:c>
      <x:c r="J55" s="53" t="n">
        <x:v>2</x:v>
      </x:c>
      <x:c r="K55" s="36" t="str">
        <x:v>Procedural / Institutional</x:v>
      </x:c>
      <x:c r="L55" s="37" t="str">
        <x:v>Create two prompt versions and compare them against the same test set.</x:v>
      </x:c>
    </x:row>
    <x:row r="56" ht="60" customHeight="1">
      <x:c r="A56" s="52" t="str">
        <x:v>Exit Assessment</x:v>
      </x:c>
      <x:c r="B56" s="53" t="str">
        <x:v>E09C</x:v>
      </x:c>
      <x:c r="C56" s="53" t="n">
        <x:v>9</x:v>
      </x:c>
      <x:c r="D56" s="53" t="str">
        <x:v>Prompt fundamentals, instructions, templates, and structured outputs</x:v>
      </x:c>
      <x:c r="E56" s="53" t="str">
        <x:v>Constructed Response</x:v>
      </x:c>
      <x:c r="F56" s="53" t="str"/>
      <x:c r="G56" s="36" t="str">
        <x:v>The improved prompt must be reusable, bounded, validated, and tested against representative and adversarial cases.</x:v>
      </x:c>
      <x:c r="H56" s="36" t="str">
        <x:v>6 = complete, accurate, structured, and justified; 4–5 = meets mastery with limited omissions; 2–3 = partial; 1 = minimal; 0 = incorrect or absent.</x:v>
      </x:c>
      <x:c r="I56" s="53" t="n">
        <x:v>6</x:v>
      </x:c>
      <x:c r="J56" s="53" t="n">
        <x:v>4</x:v>
      </x:c>
      <x:c r="K56" s="36" t="str">
        <x:v>Procedural / Causal</x:v>
      </x:c>
      <x:c r="L56" s="37" t="str">
        <x:v>Use iterative prompt refinement against a fixed golden set.</x:v>
      </x:c>
    </x:row>
    <x:row r="57" ht="60" customHeight="1">
      <x:c r="A57" s="52" t="str">
        <x:v>Exit Assessment</x:v>
      </x:c>
      <x:c r="B57" s="53" t="str">
        <x:v>E10A</x:v>
      </x:c>
      <x:c r="C57" s="53" t="n">
        <x:v>10</x:v>
      </x:c>
      <x:c r="D57" s="53" t="str">
        <x:v>Basic GenAI evaluation concepts and golden datasets</x:v>
      </x:c>
      <x:c r="E57" s="53" t="str">
        <x:v>Multiple Choice</x:v>
      </x:c>
      <x:c r="F57" s="53" t="str">
        <x:v>A</x:v>
      </x:c>
      <x:c r="G57" s="36" t="str">
        <x:v>Edge cases expose failure modes that aggregate averages may conceal.</x:v>
      </x:c>
      <x:c r="H57" s="36" t="str">
        <x:v>2 points for the correct option; 0 otherwise.</x:v>
      </x:c>
      <x:c r="I57" s="53" t="n">
        <x:v>2</x:v>
      </x:c>
      <x:c r="J57" s="53" t="n">
        <x:v>2</x:v>
      </x:c>
      <x:c r="K57" s="36" t="str">
        <x:v>Conceptual / Normative</x:v>
      </x:c>
      <x:c r="L57" s="37" t="str">
        <x:v>Expand evaluation coverage based on risk and observed errors.</x:v>
      </x:c>
    </x:row>
    <x:row r="58" ht="60" customHeight="1">
      <x:c r="A58" s="52" t="str">
        <x:v>Exit Assessment</x:v>
      </x:c>
      <x:c r="B58" s="53" t="str">
        <x:v>E10B</x:v>
      </x:c>
      <x:c r="C58" s="53" t="n">
        <x:v>10</x:v>
      </x:c>
      <x:c r="D58" s="53" t="str">
        <x:v>Basic GenAI evaluation concepts and golden datasets</x:v>
      </x:c>
      <x:c r="E58" s="53" t="str">
        <x:v>Multiple Choice</x:v>
      </x:c>
      <x:c r="F58" s="53" t="str">
        <x:v>C</x:v>
      </x:c>
      <x:c r="G58" s="36" t="str">
        <x:v>Release gates must be tied to measured acceptance criteria.</x:v>
      </x:c>
      <x:c r="H58" s="36" t="str">
        <x:v>2 points for the correct option; 0 otherwise.</x:v>
      </x:c>
      <x:c r="I58" s="53" t="n">
        <x:v>2</x:v>
      </x:c>
      <x:c r="J58" s="53" t="n">
        <x:v>2</x:v>
      </x:c>
      <x:c r="K58" s="36" t="str">
        <x:v>Strategic</x:v>
      </x:c>
      <x:c r="L58" s="37" t="str">
        <x:v>Define evaluation thresholds before comparing candidates.</x:v>
      </x:c>
    </x:row>
    <x:row r="59" ht="60" customHeight="1">
      <x:c r="A59" s="54" t="str">
        <x:v>Exit Assessment</x:v>
      </x:c>
      <x:c r="B59" s="55" t="str">
        <x:v>E10C</x:v>
      </x:c>
      <x:c r="C59" s="55" t="n">
        <x:v>10</x:v>
      </x:c>
      <x:c r="D59" s="55" t="str">
        <x:v>Basic GenAI evaluation concepts and golden datasets</x:v>
      </x:c>
      <x:c r="E59" s="55" t="str">
        <x:v>Constructed Response</x:v>
      </x:c>
      <x:c r="F59" s="55" t="str"/>
      <x:c r="G59" s="39" t="str">
        <x:v>The plan must be representative, repeatable, versioned, risk-aware, and connected to explicit promotion or rejection criteria.</x:v>
      </x:c>
      <x:c r="H59" s="39" t="str">
        <x:v>6 = complete, accurate, structured, and justified; 4–5 = meets mastery with limited omissions; 2–3 = partial; 1 = minimal; 0 = incorrect or absent.</x:v>
      </x:c>
      <x:c r="I59" s="55" t="n">
        <x:v>6</x:v>
      </x:c>
      <x:c r="J59" s="55" t="n">
        <x:v>4</x:v>
      </x:c>
      <x:c r="K59" s="39" t="str">
        <x:v>Strategic / Procedural</x:v>
      </x:c>
      <x:c r="L59" s="40" t="str">
        <x:v>Revise the dataset after error analysis and rerun the comparison.</x:v>
      </x:c>
    </x:row>
  </x:sheetData>
  <x:mergeCells>
    <x:mergeCell ref="A1:L1"/>
    <x:mergeCell ref="A2:L3"/>
  </x:mergeCells>
  <x:pageMargins left="0.7" right="0.7" top="0.75" bottom="0.75" header="0.3" footer="0.3"/>
  <x:tableParts count="1">
    <x:tablePart xmlns:r="http://schemas.openxmlformats.org/officeDocument/2006/relationships" r:id="Rbdbaa3ab76924b0f"/>
  </x:tableParts>
</x:worksheet>
</file>

<file path=xl/worksheets/sheet2.xml><?xml version="1.0" encoding="utf-8"?>
<x:worksheet xmlns:x="http://schemas.openxmlformats.org/spreadsheetml/2006/main">
  <x:sheetFormatPr defaultRowHeight="15"/>
  <x:cols>
    <x:col min="1" max="1" width="10" hidden="0" customWidth="1"/>
    <x:col min="2" max="2" width="45" hidden="0" customWidth="1"/>
    <x:col min="3" max="3" width="24" hidden="0" customWidth="1"/>
    <x:col min="4" max="4" width="16" hidden="0" customWidth="1"/>
    <x:col min="5" max="5" width="13" hidden="0" customWidth="1"/>
    <x:col min="6" max="6" width="35" hidden="0" customWidth="1"/>
    <x:col min="7" max="7" width="24" hidden="0" customWidth="1"/>
    <x:col min="8" max="8" width="35" hidden="0" customWidth="1"/>
    <x:col min="9" max="9" width="3" hidden="0" customWidth="1"/>
    <x:col min="10" max="10" width="11" hidden="0" customWidth="1"/>
    <x:col min="11" max="11" width="8" hidden="0" customWidth="1"/>
    <x:col min="12" max="12" width="54" hidden="0" customWidth="1"/>
    <x:col min="13" max="13" width="58" hidden="0" customWidth="1"/>
    <x:col min="14" max="14" width="12" hidden="0" customWidth="1"/>
    <x:col min="15" max="15" width="11" hidden="0" customWidth="1"/>
    <x:col min="16" max="16" width="9" hidden="0" customWidth="1"/>
    <x:col min="17" max="17" width="15" hidden="0" customWidth="1"/>
    <x:col min="18" max="18" width="12" hidden="0" customWidth="1"/>
  </x:cols>
  <x:sheetData>
    <x:row r="1" ht="30" customHeight="1">
      <x:c r="A1" s="5" t="str">
        <x:v>Layer 0 Entry Interpretation and Skip Decision</x:v>
      </x:c>
      <x:c r="B1" s="5"/>
      <x:c r="C1" s="5"/>
      <x:c r="D1" s="5"/>
      <x:c r="E1" s="5"/>
      <x:c r="F1" s="5"/>
      <x:c r="G1" s="5"/>
      <x:c r="H1" s="5"/>
      <x:c r="I1" s="5"/>
      <x:c r="J1" s="5"/>
      <x:c r="K1" s="5"/>
      <x:c r="L1" s="5"/>
      <x:c r="M1" s="5"/>
      <x:c r="N1" s="5"/>
      <x:c r="O1" s="5"/>
      <x:c r="P1" s="5"/>
      <x:c r="Q1" s="5"/>
      <x:c r="R1" s="5"/>
    </x:row>
    <x:row r="2" ht="42" customHeight="1">
      <x:c r="A2" s="13" t="str">
        <x:v>For Topics 1–6, copy Pass/Gap results and confidence from Q001–Q006 in the overall AIP-C01 Initial Diagnostic. Topics 7–10 were not directly sampled there, so complete the four bridge questions on the right. Passing an entry item does not certify mastery; it can only shorten the learning activity before the topic check.</x:v>
      </x:c>
      <x:c r="B2" s="13"/>
      <x:c r="C2" s="13"/>
      <x:c r="D2" s="13"/>
      <x:c r="E2" s="13"/>
      <x:c r="F2" s="13"/>
      <x:c r="G2" s="13"/>
      <x:c r="H2" s="13"/>
      <x:c r="I2" s="13"/>
      <x:c r="J2" s="13"/>
      <x:c r="K2" s="13"/>
      <x:c r="L2" s="13"/>
      <x:c r="M2" s="13"/>
      <x:c r="N2" s="13"/>
      <x:c r="O2" s="13"/>
      <x:c r="P2" s="13"/>
      <x:c r="Q2" s="13"/>
      <x:c r="R2" s="13"/>
    </x:row>
    <x:row r="3" ht="42" customHeight="1">
      <x:c r="A3" s="13"/>
      <x:c r="B3" s="13"/>
      <x:c r="C3" s="13"/>
      <x:c r="D3" s="13"/>
      <x:c r="E3" s="13"/>
      <x:c r="F3" s="13"/>
      <x:c r="G3" s="13"/>
      <x:c r="H3" s="13"/>
      <x:c r="I3" s="13"/>
      <x:c r="J3" s="13"/>
      <x:c r="K3" s="13"/>
      <x:c r="L3" s="13"/>
      <x:c r="M3" s="13"/>
      <x:c r="N3" s="13"/>
      <x:c r="O3" s="13"/>
      <x:c r="P3" s="13"/>
      <x:c r="Q3" s="13"/>
      <x:c r="R3" s="13"/>
    </x:row>
    <x:row r="5">
      <x:c r="A5" s="22" t="str">
        <x:v>Topic Index</x:v>
      </x:c>
      <x:c r="B5" s="22" t="str">
        <x:v>Topic Name</x:v>
      </x:c>
      <x:c r="C5" s="22" t="str">
        <x:v>Entry Evidence</x:v>
      </x:c>
      <x:c r="D5" s="22" t="str">
        <x:v>Entry Result</x:v>
      </x:c>
      <x:c r="E5" s="22" t="str">
        <x:v>Confidence (1–5)</x:v>
      </x:c>
      <x:c r="F5" s="22" t="str">
        <x:v>Entry Decision</x:v>
      </x:c>
      <x:c r="G5" s="22" t="str">
        <x:v>Required Proficiency</x:v>
      </x:c>
      <x:c r="H5" s="22" t="str">
        <x:v>Notes</x:v>
      </x:c>
      <x:c r="J5" s="22" t="str">
        <x:v>Item ID</x:v>
      </x:c>
      <x:c r="K5" s="22" t="str">
        <x:v>Topic</x:v>
      </x:c>
      <x:c r="L5" s="22" t="str">
        <x:v>Question</x:v>
      </x:c>
      <x:c r="M5" s="22" t="str">
        <x:v>Options</x:v>
      </x:c>
      <x:c r="N5" s="22" t="str">
        <x:v>Response</x:v>
      </x:c>
      <x:c r="O5" s="22" t="str">
        <x:v>Auto Score</x:v>
      </x:c>
      <x:c r="P5" s="22" t="str">
        <x:v>Max</x:v>
      </x:c>
      <x:c r="Q5" s="22" t="str">
        <x:v>Result</x:v>
      </x:c>
      <x:c r="R5" s="22" t="str">
        <x:v>Confidence</x:v>
      </x:c>
    </x:row>
    <x:row r="6" ht="78" customHeight="1">
      <x:c r="A6" s="32" t="n">
        <x:v>1</x:v>
      </x:c>
      <x:c r="B6" s="33" t="str">
        <x:v>Foundation models and GenAI fundamentals</x:v>
      </x:c>
      <x:c r="C6" s="33" t="str">
        <x:v>Initial Diagnostic Q001</x:v>
      </x:c>
      <x:c r="D6" s="62" t="str"/>
      <x:c r="E6" s="62" t="str"/>
      <x:c r="F6" s="33" t="str">
        <x:f>IF(D6="Pass",IF(E6&gt;=4,"Targeted review, then topic check","Brief review, then topic check"),IF(D6="Gap","Complete full learning plan",IF(D6="Not available","Complete full learning plan","Enter or complete entry evidence")))</x:f>
        <x:v>Enter or complete entry evidence</x:v>
      </x:c>
      <x:c r="G6" s="33" t="str">
        <x:v>Level 2 — Explain</x:v>
      </x:c>
      <x:c r="H6" s="66" t="str"/>
      <x:c r="J6" s="32" t="str">
        <x:v>B07</x:v>
      </x:c>
      <x:c r="K6" s="33" t="n">
        <x:v>7</x:v>
      </x:c>
      <x:c r="L6" s="33" t="str">
        <x:v>Which model-selection approach is strongest for a production GenAI use case?</x:v>
      </x:c>
      <x:c r="M6" s="33" t="str">
        <x:v>A. Select the model with the largest parameter count
B. Select the newest model without testing
C. Evaluate candidate models against representative quality, latency, cost, modality, context, safety, and regional requirements
D. Select the least expensive model regardless of quality</x:v>
      </x:c>
      <x:c r="N6" s="62"/>
      <x:c r="O6" s="33" t="str">
        <x:f>IF(N6="","",IF(UPPER(TRIM(N6))=VLOOKUP(J6,'Answer Key &amp; Rubrics'!$B$6:$J$59,5,FALSE),P6,0))</x:f>
      </x:c>
      <x:c r="P6" s="33" t="n">
        <x:v>2</x:v>
      </x:c>
      <x:c r="Q6" s="33" t="str">
        <x:f>IF(N6="","Not answered",IF(O6=P6,"Pass","Gap"))</x:f>
        <x:v>Not answered</x:v>
      </x:c>
      <x:c r="R6" s="66"/>
    </x:row>
    <x:row r="7" ht="78" customHeight="1">
      <x:c r="A7" s="35" t="n">
        <x:v>2</x:v>
      </x:c>
      <x:c r="B7" s="36" t="str">
        <x:v>Tokens, context windows, inference, temperature, top-k, and top-p</x:v>
      </x:c>
      <x:c r="C7" s="36" t="str">
        <x:v>Initial Diagnostic Q002</x:v>
      </x:c>
      <x:c r="D7" s="63" t="str"/>
      <x:c r="E7" s="63" t="str"/>
      <x:c r="F7" s="36" t="str">
        <x:f>IF(D7="Pass",IF(E7&gt;=4,"Targeted review, then topic check","Brief review, then topic check"),IF(D7="Gap","Complete full learning plan",IF(D7="Not available","Complete full learning plan","Enter or complete entry evidence")))</x:f>
        <x:v>Enter or complete entry evidence</x:v>
      </x:c>
      <x:c r="G7" s="36" t="str">
        <x:v>Level 2 — Explain</x:v>
      </x:c>
      <x:c r="H7" s="67" t="str"/>
      <x:c r="J7" s="35" t="str">
        <x:v>B08</x:v>
      </x:c>
      <x:c r="K7" s="36" t="n">
        <x:v>8</x:v>
      </x:c>
      <x:c r="L7" s="36" t="str">
        <x:v>Which permission is specifically required to call the Amazon Bedrock InvokeModel operation?</x:v>
      </x:c>
      <x:c r="M7" s="36" t="str">
        <x:v>A. bedrock:InvokeModel
B. s3:PutObject
C. iam:CreateUser
D. glue:StartJobRun</x:v>
      </x:c>
      <x:c r="N7" s="63" t="str"/>
      <x:c r="O7" s="36" t="str">
        <x:f>IF(N7="","",IF(UPPER(TRIM(N7))=VLOOKUP(J7,'Answer Key &amp; Rubrics'!$B$6:$J$59,5,FALSE),P7,0))</x:f>
      </x:c>
      <x:c r="P7" s="36" t="n">
        <x:v>2</x:v>
      </x:c>
      <x:c r="Q7" s="36" t="str">
        <x:f>IF(N7="","Not answered",IF(O7=P7,"Pass","Gap"))</x:f>
        <x:v>Not answered</x:v>
      </x:c>
      <x:c r="R7" s="67" t="str"/>
    </x:row>
    <x:row r="8" ht="78" customHeight="1">
      <x:c r="A8" s="35" t="n">
        <x:v>3</x:v>
      </x:c>
      <x:c r="B8" s="36" t="str">
        <x:v>AWS GenAI service landscape: Bedrock, SageMaker AI, Lambda, API Gateway, Step Functions, SQS, EventBridge, S3, DynamoDB, OpenSearch, CloudWatch, X-Ray, IAM</x:v>
      </x:c>
      <x:c r="C8" s="36" t="str">
        <x:v>Initial Diagnostic Q003</x:v>
      </x:c>
      <x:c r="D8" s="63" t="str"/>
      <x:c r="E8" s="63" t="str"/>
      <x:c r="F8" s="36" t="str">
        <x:f>IF(D8="Pass",IF(E8&gt;=4,"Targeted review, then topic check","Brief review, then topic check"),IF(D8="Gap","Complete full learning plan",IF(D8="Not available","Complete full learning plan","Enter or complete entry evidence")))</x:f>
        <x:v>Enter or complete entry evidence</x:v>
      </x:c>
      <x:c r="G8" s="36" t="str">
        <x:v>Level 2 — Explain</x:v>
      </x:c>
      <x:c r="H8" s="67" t="str"/>
      <x:c r="J8" s="35" t="str">
        <x:v>B09</x:v>
      </x:c>
      <x:c r="K8" s="36" t="n">
        <x:v>9</x:v>
      </x:c>
      <x:c r="L8" s="36" t="str">
        <x:v>What most improves the reliability of machine-readable model output?</x:v>
      </x:c>
      <x:c r="M8" s="36" t="str">
        <x:v>A. Asking the model to 'be careful'
B. Increasing temperature
C. Adding unrelated examples
D. Defining a structured schema and validating the returned output</x:v>
      </x:c>
      <x:c r="N8" s="63" t="str"/>
      <x:c r="O8" s="36" t="str">
        <x:f>IF(N8="","",IF(UPPER(TRIM(N8))=VLOOKUP(J8,'Answer Key &amp; Rubrics'!$B$6:$J$59,5,FALSE),P8,0))</x:f>
      </x:c>
      <x:c r="P8" s="36" t="n">
        <x:v>2</x:v>
      </x:c>
      <x:c r="Q8" s="36" t="str">
        <x:f>IF(N8="","Not answered",IF(O8=P8,"Pass","Gap"))</x:f>
        <x:v>Not answered</x:v>
      </x:c>
      <x:c r="R8" s="67" t="str"/>
    </x:row>
    <x:row r="9" ht="78" customHeight="1">
      <x:c r="A9" s="35" t="n">
        <x:v>4</x:v>
      </x:c>
      <x:c r="B9" s="36" t="str">
        <x:v>API, event-driven, serverless, container, and workflow fundamentals</x:v>
      </x:c>
      <x:c r="C9" s="36" t="str">
        <x:v>Initial Diagnostic Q004</x:v>
      </x:c>
      <x:c r="D9" s="63" t="str"/>
      <x:c r="E9" s="63" t="str"/>
      <x:c r="F9" s="36" t="str">
        <x:f>IF(D9="Pass",IF(E9&gt;=4,"Targeted review, then topic check","Brief review, then topic check"),IF(D9="Gap","Complete full learning plan",IF(D9="Not available","Complete full learning plan","Enter or complete entry evidence")))</x:f>
        <x:v>Enter or complete entry evidence</x:v>
      </x:c>
      <x:c r="G9" s="36" t="str">
        <x:v>Level 2 — Explain</x:v>
      </x:c>
      <x:c r="H9" s="67" t="str"/>
      <x:c r="J9" s="38" t="str">
        <x:v>B10</x:v>
      </x:c>
      <x:c r="K9" s="39" t="n">
        <x:v>10</x:v>
      </x:c>
      <x:c r="L9" s="39" t="str">
        <x:v>What is the purpose of a golden evaluation dataset?</x:v>
      </x:c>
      <x:c r="M9" s="39" t="str">
        <x:v>A. Store production credentials
B. Provide representative inputs and expected or judged outcomes for repeatable comparison
C. Increase provisioned throughput
D. Replace production monitoring</x:v>
      </x:c>
      <x:c r="N9" s="72" t="str"/>
      <x:c r="O9" s="39" t="str">
        <x:f>IF(N9="","",IF(UPPER(TRIM(N9))=VLOOKUP(J9,'Answer Key &amp; Rubrics'!$B$6:$J$59,5,FALSE),P9,0))</x:f>
      </x:c>
      <x:c r="P9" s="39" t="n">
        <x:v>2</x:v>
      </x:c>
      <x:c r="Q9" s="39" t="str">
        <x:f>IF(N9="","Not answered",IF(O9=P9,"Pass","Gap"))</x:f>
        <x:v>Not answered</x:v>
      </x:c>
      <x:c r="R9" s="68" t="str"/>
    </x:row>
    <x:row r="10" ht="44" customHeight="1">
      <x:c r="A10" s="35" t="n">
        <x:v>5</x:v>
      </x:c>
      <x:c r="B10" s="36" t="str">
        <x:v>IAM, trust boundaries, least privilege, networking, and data-protection fundamentals</x:v>
      </x:c>
      <x:c r="C10" s="36" t="str">
        <x:v>Initial Diagnostic Q005</x:v>
      </x:c>
      <x:c r="D10" s="63" t="str"/>
      <x:c r="E10" s="63" t="str"/>
      <x:c r="F10" s="36" t="str">
        <x:f>IF(D10="Pass",IF(E10&gt;=4,"Targeted review, then topic check","Brief review, then topic check"),IF(D10="Gap","Complete full learning plan",IF(D10="Not available","Complete full learning plan","Enter or complete entry evidence")))</x:f>
        <x:v>Enter or complete entry evidence</x:v>
      </x:c>
      <x:c r="G10" s="36" t="str">
        <x:v>Level 4 — Select/Diagnose</x:v>
      </x:c>
      <x:c r="H10" s="67" t="str"/>
    </x:row>
    <x:row r="11" ht="44" customHeight="1">
      <x:c r="A11" s="35" t="n">
        <x:v>6</x:v>
      </x:c>
      <x:c r="B11" s="36" t="str">
        <x:v>GenAI requirements analysis and basic solution architecture</x:v>
      </x:c>
      <x:c r="C11" s="36" t="str">
        <x:v>Initial Diagnostic Q006</x:v>
      </x:c>
      <x:c r="D11" s="63" t="str"/>
      <x:c r="E11" s="63" t="str"/>
      <x:c r="F11" s="36" t="str">
        <x:f>IF(D11="Pass",IF(E11&gt;=4,"Targeted review, then topic check","Brief review, then topic check"),IF(D11="Gap","Complete full learning plan",IF(D11="Not available","Complete full learning plan","Enter or complete entry evidence")))</x:f>
        <x:v>Enter or complete entry evidence</x:v>
      </x:c>
      <x:c r="G11" s="36" t="str">
        <x:v>Level 4 — Select/Diagnose</x:v>
      </x:c>
      <x:c r="H11" s="67" t="str"/>
    </x:row>
    <x:row r="12" ht="44" customHeight="1">
      <x:c r="A12" s="35" t="n">
        <x:v>7</x:v>
      </x:c>
      <x:c r="B12" s="36" t="str">
        <x:v>Foundation-model capabilities, limitations, and basic model selection</x:v>
      </x:c>
      <x:c r="C12" s="36" t="str">
        <x:v>Bridge B07</x:v>
      </x:c>
      <x:c r="D12" s="36" t="str">
        <x:f>Q6</x:f>
        <x:v>Not answered</x:v>
      </x:c>
      <x:c r="E12" s="36" t="n">
        <x:f>R6</x:f>
        <x:v>0</x:v>
      </x:c>
      <x:c r="F12" s="36" t="str">
        <x:f>IF(D12="Pass",IF(E12&gt;=4,"Targeted review, then topic check","Brief review, then topic check"),IF(D12="Gap","Complete full learning plan",IF(D12="Not available","Complete full learning plan","Enter or complete entry evidence")))</x:f>
        <x:v>Enter or complete entry evidence</x:v>
      </x:c>
      <x:c r="G12" s="36" t="str">
        <x:v>Level 4 — Select/Diagnose</x:v>
      </x:c>
      <x:c r="H12" s="67" t="str"/>
    </x:row>
    <x:row r="13" ht="44" customHeight="1">
      <x:c r="A13" s="35" t="n">
        <x:v>8</x:v>
      </x:c>
      <x:c r="B13" s="36" t="str">
        <x:v>Basic Amazon Bedrock model invocation</x:v>
      </x:c>
      <x:c r="C13" s="36" t="str">
        <x:v>Bridge B08</x:v>
      </x:c>
      <x:c r="D13" s="36" t="str">
        <x:f>Q7</x:f>
        <x:v>Not answered</x:v>
      </x:c>
      <x:c r="E13" s="36" t="n">
        <x:f>R7</x:f>
        <x:v>0</x:v>
      </x:c>
      <x:c r="F13" s="36" t="str">
        <x:f>IF(D13="Pass",IF(E13&gt;=4,"Targeted review, then topic check","Brief review, then topic check"),IF(D13="Gap","Complete full learning plan",IF(D13="Not available","Complete full learning plan","Enter or complete entry evidence")))</x:f>
        <x:v>Enter or complete entry evidence</x:v>
      </x:c>
      <x:c r="G13" s="36" t="str">
        <x:v>Level 3 — Apply/Implement</x:v>
      </x:c>
      <x:c r="H13" s="67" t="str"/>
    </x:row>
    <x:row r="14" ht="44" customHeight="1">
      <x:c r="A14" s="35" t="n">
        <x:v>9</x:v>
      </x:c>
      <x:c r="B14" s="36" t="str">
        <x:v>Prompt fundamentals, instructions, templates, and structured outputs</x:v>
      </x:c>
      <x:c r="C14" s="36" t="str">
        <x:v>Bridge B09</x:v>
      </x:c>
      <x:c r="D14" s="36" t="str">
        <x:f>Q8</x:f>
        <x:v>Not answered</x:v>
      </x:c>
      <x:c r="E14" s="36" t="n">
        <x:f>R8</x:f>
        <x:v>0</x:v>
      </x:c>
      <x:c r="F14" s="36" t="str">
        <x:f>IF(D14="Pass",IF(E14&gt;=4,"Targeted review, then topic check","Brief review, then topic check"),IF(D14="Gap","Complete full learning plan",IF(D14="Not available","Complete full learning plan","Enter or complete entry evidence")))</x:f>
        <x:v>Enter or complete entry evidence</x:v>
      </x:c>
      <x:c r="G14" s="36" t="str">
        <x:v>Level 3 — Apply/Implement</x:v>
      </x:c>
      <x:c r="H14" s="67" t="str"/>
    </x:row>
    <x:row r="15" ht="44" customHeight="1">
      <x:c r="A15" s="38" t="n">
        <x:v>10</x:v>
      </x:c>
      <x:c r="B15" s="39" t="str">
        <x:v>Basic GenAI evaluation concepts and golden datasets</x:v>
      </x:c>
      <x:c r="C15" s="39" t="str">
        <x:v>Bridge B10</x:v>
      </x:c>
      <x:c r="D15" s="39" t="str">
        <x:f>Q9</x:f>
        <x:v>Not answered</x:v>
      </x:c>
      <x:c r="E15" s="39" t="n">
        <x:f>R9</x:f>
        <x:v>0</x:v>
      </x:c>
      <x:c r="F15" s="39" t="str">
        <x:f>IF(D15="Pass",IF(E15&gt;=4,"Targeted review, then topic check","Brief review, then topic check"),IF(D15="Gap","Complete full learning plan",IF(D15="Not available","Complete full learning plan","Enter or complete entry evidence")))</x:f>
        <x:v>Enter or complete entry evidence</x:v>
      </x:c>
      <x:c r="G15" s="39" t="str">
        <x:v>Level 4 — Select/Diagnose</x:v>
      </x:c>
      <x:c r="H15" s="68" t="str"/>
    </x:row>
  </x:sheetData>
  <x:mergeCells>
    <x:mergeCell ref="A1:R1"/>
    <x:mergeCell ref="A2:R3"/>
  </x:mergeCells>
  <x:conditionalFormatting sqref="Q6:Q9">
    <x:cfRule type="expression" dxfId="0" priority="1">
      <x:formula>Q6="Pass"</x:formula>
    </x:cfRule>
    <x:cfRule type="expression" dxfId="1" priority="2">
      <x:formula>Q6="Gap"</x:formula>
    </x:cfRule>
  </x:conditionalFormatting>
  <x:conditionalFormatting sqref="D6:D15">
    <x:cfRule type="expression" dxfId="2" priority="3">
      <x:formula>D6="Pass"</x:formula>
    </x:cfRule>
    <x:cfRule type="expression" dxfId="3" priority="4">
      <x:formula>D6="Gap"</x:formula>
    </x:cfRule>
  </x:conditionalFormatting>
  <x:dataValidations count="4">
    <x:dataValidation type="list" sqref="D6:D11">
      <x:formula1>"Pass,Gap,Not available"</x:formula1>
    </x:dataValidation>
    <x:dataValidation type="list" sqref="E6:E11">
      <x:formula1>"1,2,3,4,5"</x:formula1>
    </x:dataValidation>
    <x:dataValidation type="list" sqref="N6:N9">
      <x:formula1>"A,B,C,D"</x:formula1>
    </x:dataValidation>
    <x:dataValidation type="list" sqref="R6:R9">
      <x:formula1>"1,2,3,4,5"</x:formula1>
    </x:dataValidation>
  </x:dataValidations>
  <x:pageMargins left="0.7" right="0.7" top="0.75" bottom="0.75" header="0.3" footer="0.3"/>
  <x:tableParts count="2">
    <x:tablePart xmlns:r="http://schemas.openxmlformats.org/officeDocument/2006/relationships" r:id="R77a40067f933456b"/>
    <x:tablePart xmlns:r="http://schemas.openxmlformats.org/officeDocument/2006/relationships" r:id="Re1be2a0effa84c48"/>
  </x:tableParts>
</x:worksheet>
</file>

<file path=xl/worksheets/sheet3.xml><?xml version="1.0" encoding="utf-8"?>
<x:worksheet xmlns:x="http://schemas.openxmlformats.org/spreadsheetml/2006/main">
  <x:sheetFormatPr defaultRowHeight="15"/>
  <x:cols>
    <x:col min="1" max="1" width="8" hidden="0" customWidth="1"/>
    <x:col min="2" max="2" width="43" hidden="0" customWidth="1"/>
    <x:col min="3" max="3" width="34" hidden="0" customWidth="1"/>
    <x:col min="4" max="4" width="20" hidden="0" customWidth="1"/>
    <x:col min="5" max="5" width="23" hidden="0" customWidth="1"/>
    <x:col min="6" max="6" width="13" hidden="0" customWidth="1"/>
    <x:col min="7" max="7" width="32" hidden="0" customWidth="1"/>
    <x:col min="8" max="8" width="48" hidden="0" customWidth="1"/>
    <x:col min="9" max="9" width="52" hidden="0" customWidth="1"/>
    <x:col min="10" max="10" width="48" hidden="0" customWidth="1"/>
    <x:col min="11" max="11" width="52" hidden="0" customWidth="1"/>
    <x:col min="12" max="12" width="42" hidden="0" customWidth="1"/>
    <x:col min="13" max="13" width="20" hidden="0" customWidth="1"/>
    <x:col min="14" max="14" width="17" hidden="0" customWidth="1"/>
    <x:col min="15" max="15" width="22" hidden="0" customWidth="1"/>
    <x:col min="16" max="16" width="22" hidden="0" customWidth="1"/>
  </x:cols>
  <x:sheetData>
    <x:row r="1" ht="30" customHeight="1">
      <x:c r="A1" s="5" t="str">
        <x:v>Layer 0 Learning Plan — Topics 1–10</x:v>
      </x:c>
      <x:c r="B1" s="5"/>
      <x:c r="C1" s="5"/>
      <x:c r="D1" s="5"/>
      <x:c r="E1" s="5"/>
      <x:c r="F1" s="5"/>
      <x:c r="G1" s="5"/>
      <x:c r="H1" s="5"/>
      <x:c r="I1" s="5"/>
      <x:c r="J1" s="5"/>
      <x:c r="K1" s="5"/>
      <x:c r="L1" s="5"/>
      <x:c r="M1" s="5"/>
      <x:c r="N1" s="5"/>
      <x:c r="O1" s="5"/>
      <x:c r="P1" s="5"/>
    </x:row>
    <x:row r="2" ht="36" customHeight="1">
      <x:c r="A2" s="13" t="str">
        <x:v>Follow the topic order. Entry results may reduce review time, but every topic must pass its formative check and the Layer 0 exit gate. Knowledge type determines the learning activity; the dependency order is already fixed.</x:v>
      </x:c>
      <x:c r="B2" s="13"/>
      <x:c r="C2" s="13"/>
      <x:c r="D2" s="13"/>
      <x:c r="E2" s="13"/>
      <x:c r="F2" s="13"/>
      <x:c r="G2" s="13"/>
      <x:c r="H2" s="13"/>
      <x:c r="I2" s="13"/>
      <x:c r="J2" s="13"/>
      <x:c r="K2" s="13"/>
      <x:c r="L2" s="13"/>
      <x:c r="M2" s="13"/>
      <x:c r="N2" s="13"/>
      <x:c r="O2" s="13"/>
      <x:c r="P2" s="13"/>
    </x:row>
    <x:row r="3" ht="36" customHeight="1">
      <x:c r="A3" s="13"/>
      <x:c r="B3" s="13"/>
      <x:c r="C3" s="13"/>
      <x:c r="D3" s="13"/>
      <x:c r="E3" s="13"/>
      <x:c r="F3" s="13"/>
      <x:c r="G3" s="13"/>
      <x:c r="H3" s="13"/>
      <x:c r="I3" s="13"/>
      <x:c r="J3" s="13"/>
      <x:c r="K3" s="13"/>
      <x:c r="L3" s="13"/>
      <x:c r="M3" s="13"/>
      <x:c r="N3" s="13"/>
      <x:c r="O3" s="13"/>
      <x:c r="P3" s="13"/>
    </x:row>
    <x:row r="5" ht="44" customHeight="1">
      <x:c r="A5" s="22" t="str">
        <x:v>Topic</x:v>
      </x:c>
      <x:c r="B5" s="22" t="str">
        <x:v>Topic Name</x:v>
      </x:c>
      <x:c r="C5" s="22" t="str">
        <x:v>Entry Decision</x:v>
      </x:c>
      <x:c r="D5" s="22" t="str">
        <x:v>Hard Prerequisites</x:v>
      </x:c>
      <x:c r="E5" s="22" t="str">
        <x:v>Required Proficiency</x:v>
      </x:c>
      <x:c r="F5" s="22" t="str">
        <x:v>Mastery Gate</x:v>
      </x:c>
      <x:c r="G5" s="22" t="str">
        <x:v>Knowledge Type</x:v>
      </x:c>
      <x:c r="H5" s="22" t="str">
        <x:v>Teaching Method</x:v>
      </x:c>
      <x:c r="I5" s="22" t="str">
        <x:v>Core Learning Objective</x:v>
      </x:c>
      <x:c r="J5" s="22" t="str">
        <x:v>Guided Study Activity</x:v>
      </x:c>
      <x:c r="K5" s="22" t="str">
        <x:v>Practice Activity</x:v>
      </x:c>
      <x:c r="L5" s="22" t="str">
        <x:v>Required Artifact</x:v>
      </x:c>
      <x:c r="M5" s="22" t="str">
        <x:v>Topic Check IDs</x:v>
      </x:c>
      <x:c r="N5" s="22" t="str">
        <x:v>Practical IDs</x:v>
      </x:c>
      <x:c r="O5" s="22" t="str">
        <x:v>Exit Item IDs</x:v>
      </x:c>
      <x:c r="P5" s="22" t="str">
        <x:v>Learning Status</x:v>
      </x:c>
    </x:row>
    <x:row r="6" ht="74" customHeight="1">
      <x:c r="A6" s="32" t="n">
        <x:v>1</x:v>
      </x:c>
      <x:c r="B6" s="33" t="str">
        <x:v>Foundation models and GenAI fundamentals</x:v>
      </x:c>
      <x:c r="C6" s="33" t="str">
        <x:f>'Entry Interpretation'!F6</x:f>
        <x:v>Enter or complete entry evidence</x:v>
      </x:c>
      <x:c r="D6" s="33" t="str"/>
      <x:c r="E6" s="33" t="str">
        <x:v>Level 2 — Explain</x:v>
      </x:c>
      <x:c r="F6" s="33" t="str">
        <x:v>Hard</x:v>
      </x:c>
      <x:c r="G6" s="33" t="str">
        <x:v>Declarative; Conceptual</x:v>
      </x:c>
      <x:c r="H6" s="33" t="str">
        <x:v>Concept map and concise explanation; retrieval quiz</x:v>
      </x:c>
      <x:c r="I6" s="33" t="str">
        <x:v>Explain foundation models, the GenAI lifecycle, inference, prompting, RAG, and customization without conflating them.</x:v>
      </x:c>
      <x:c r="J6" s="33" t="str">
        <x:v>Concept map and self-explanation: reconstruct the model lifecycle and classify examples.</x:v>
      </x:c>
      <x:c r="K6" s="33" t="str">
        <x:v>Sort 12 statements into pre-training, inference, prompting, RAG, fine-tuning, or evaluation.</x:v>
      </x:c>
      <x:c r="L6" s="33" t="str">
        <x:v>FM lifecycle concept map</x:v>
      </x:c>
      <x:c r="M6" s="33" t="str">
        <x:v>TC01A, TC01B</x:v>
      </x:c>
      <x:c r="N6" s="33" t="str">
        <x:v>P01</x:v>
      </x:c>
      <x:c r="O6" s="33" t="str">
        <x:v>E01A, E01B, E01C</x:v>
      </x:c>
      <x:c r="P6" s="66" t="str">
        <x:v>Not Started</x:v>
      </x:c>
    </x:row>
    <x:row r="7" ht="74" customHeight="1">
      <x:c r="A7" s="35" t="n">
        <x:v>2</x:v>
      </x:c>
      <x:c r="B7" s="36" t="str">
        <x:v>Tokens, context windows, inference, temperature, top-k, and top-p</x:v>
      </x:c>
      <x:c r="C7" s="36" t="str">
        <x:f>'Entry Interpretation'!F7</x:f>
        <x:v>Enter or complete entry evidence</x:v>
      </x:c>
      <x:c r="D7" s="36" t="str">
        <x:v>1</x:v>
      </x:c>
      <x:c r="E7" s="36" t="str">
        <x:v>Level 2 — Explain</x:v>
      </x:c>
      <x:c r="F7" s="36" t="str">
        <x:v>Hard</x:v>
      </x:c>
      <x:c r="G7" s="36" t="str">
        <x:v>Declarative; Conceptual; Causal</x:v>
      </x:c>
      <x:c r="H7" s="36" t="str">
        <x:v>Worked examples and controlled parameter experiments</x:v>
      </x:c>
      <x:c r="I7" s="36" t="str">
        <x:v>Explain token budgets, context windows, sampling parameters, output limits, and their quality/cost/latency consequences.</x:v>
      </x:c>
      <x:c r="J7" s="36" t="str">
        <x:v>Worked token budgets and controlled inference-parameter demonstrations.</x:v>
      </x:c>
      <x:c r="K7" s="36" t="str">
        <x:v>Run the same prompt with controlled parameter changes and record consistency, length, and failure behavior.</x:v>
      </x:c>
      <x:c r="L7" s="36" t="str">
        <x:v>Inference-parameter experiment table</x:v>
      </x:c>
      <x:c r="M7" s="36" t="str">
        <x:v>TC02A, TC02B</x:v>
      </x:c>
      <x:c r="N7" s="36" t="str">
        <x:v>P01</x:v>
      </x:c>
      <x:c r="O7" s="36" t="str">
        <x:v>E02A, E02B, E02C</x:v>
      </x:c>
      <x:c r="P7" s="67" t="str">
        <x:v>Not Started</x:v>
      </x:c>
    </x:row>
    <x:row r="8" ht="74" customHeight="1">
      <x:c r="A8" s="35" t="n">
        <x:v>3</x:v>
      </x:c>
      <x:c r="B8" s="36" t="str">
        <x:v>AWS GenAI service landscape: Bedrock, SageMaker AI, Lambda, API Gateway, Step Functions, SQS, EventBridge, S3, DynamoDB, OpenSearch, CloudWatch, X-Ray, IAM</x:v>
      </x:c>
      <x:c r="C8" s="36" t="str">
        <x:f>'Entry Interpretation'!F8</x:f>
        <x:v>Enter or complete entry evidence</x:v>
      </x:c>
      <x:c r="D8" s="36" t="str">
        <x:v>1</x:v>
      </x:c>
      <x:c r="E8" s="36" t="str">
        <x:v>Level 2 — Explain</x:v>
      </x:c>
      <x:c r="F8" s="36" t="str">
        <x:v>Hard</x:v>
      </x:c>
      <x:c r="G8" s="36" t="str">
        <x:v>Declarative; Conceptual; Embedded</x:v>
      </x:c>
      <x:c r="H8" s="36" t="str">
        <x:v>AWS service map and use-case matching exercises</x:v>
      </x:c>
      <x:c r="I8" s="36" t="str">
        <x:v>Map core AWS GenAI, integration, data, security, and observability services to distinct architectural responsibilities.</x:v>
      </x:c>
      <x:c r="J8" s="36" t="str">
        <x:v>AWS request-flow service map and use-case matching.</x:v>
      </x:c>
      <x:c r="K8" s="36" t="str">
        <x:v>Build two service maps: a minimal serverless architecture and an enterprise-controlled variant.</x:v>
      </x:c>
      <x:c r="L8" s="36" t="str">
        <x:v>AWS GenAI service and request-flow map</x:v>
      </x:c>
      <x:c r="M8" s="36" t="str">
        <x:v>TC03A, TC03B</x:v>
      </x:c>
      <x:c r="N8" s="36" t="str">
        <x:v>P02</x:v>
      </x:c>
      <x:c r="O8" s="36" t="str">
        <x:v>E03A, E03B, E03C</x:v>
      </x:c>
      <x:c r="P8" s="67" t="str">
        <x:v>Not Started</x:v>
      </x:c>
    </x:row>
    <x:row r="9" ht="74" customHeight="1">
      <x:c r="A9" s="35" t="n">
        <x:v>4</x:v>
      </x:c>
      <x:c r="B9" s="36" t="str">
        <x:v>API, event-driven, serverless, container, and workflow fundamentals</x:v>
      </x:c>
      <x:c r="C9" s="36" t="str">
        <x:f>'Entry Interpretation'!F9</x:f>
        <x:v>Enter or complete entry evidence</x:v>
      </x:c>
      <x:c r="D9" s="36" t="str">
        <x:v>3</x:v>
      </x:c>
      <x:c r="E9" s="36" t="str">
        <x:v>Level 2 — Explain</x:v>
      </x:c>
      <x:c r="F9" s="36" t="str">
        <x:v>Hard</x:v>
      </x:c>
      <x:c r="G9" s="36" t="str">
        <x:v>Conceptual; Conditional</x:v>
      </x:c>
      <x:c r="H9" s="36" t="str">
        <x:v>Architecture-pattern comparison and design sketch</x:v>
      </x:c>
      <x:c r="I9" s="36" t="str">
        <x:v>Select among synchronous, streaming, asynchronous, event-driven, container, serverless, and workflow patterns.</x:v>
      </x:c>
      <x:c r="J9" s="36" t="str">
        <x:v>Contrasting architecture patterns using short workload cards.</x:v>
      </x:c>
      <x:c r="K9" s="36" t="str">
        <x:v>Choose and defend an interaction pattern for six workloads with different latency and duration needs.</x:v>
      </x:c>
      <x:c r="L9" s="36" t="str">
        <x:v>Interaction-pattern decision table</x:v>
      </x:c>
      <x:c r="M9" s="36" t="str">
        <x:v>TC04A, TC04B</x:v>
      </x:c>
      <x:c r="N9" s="36" t="str">
        <x:v>P02</x:v>
      </x:c>
      <x:c r="O9" s="36" t="str">
        <x:v>E04A, E04B, E04C</x:v>
      </x:c>
      <x:c r="P9" s="67" t="str">
        <x:v>Not Started</x:v>
      </x:c>
    </x:row>
    <x:row r="10" ht="74" customHeight="1">
      <x:c r="A10" s="35" t="n">
        <x:v>5</x:v>
      </x:c>
      <x:c r="B10" s="36" t="str">
        <x:v>IAM, trust boundaries, least privilege, networking, and data-protection fundamentals</x:v>
      </x:c>
      <x:c r="C10" s="36" t="str">
        <x:f>'Entry Interpretation'!F10</x:f>
        <x:v>Enter or complete entry evidence</x:v>
      </x:c>
      <x:c r="D10" s="36" t="str">
        <x:v>3, 4</x:v>
      </x:c>
      <x:c r="E10" s="36" t="str">
        <x:v>Level 4 — Select/Diagnose</x:v>
      </x:c>
      <x:c r="F10" s="36" t="str">
        <x:v>Hard</x:v>
      </x:c>
      <x:c r="G10" s="36" t="str">
        <x:v>Conceptual; Conditional; Normative</x:v>
      </x:c>
      <x:c r="H10" s="36" t="str">
        <x:v>Trust-boundary diagram and IAM scenario analysis</x:v>
      </x:c>
      <x:c r="I10" s="36" t="str">
        <x:v>Analyze trust boundaries and design least-privilege identity, network, encryption, data-handling, and audit controls.</x:v>
      </x:c>
      <x:c r="J10" s="36" t="str">
        <x:v>Trust-boundary diagram, IAM permission matrix, and denied-path analysis.</x:v>
      </x:c>
      <x:c r="K10" s="36" t="str">
        <x:v>Design a workload role, resource permissions, and two explicit denied tests.</x:v>
      </x:c>
      <x:c r="L10" s="36" t="str">
        <x:v>Trust-boundary diagram and permission matrix</x:v>
      </x:c>
      <x:c r="M10" s="36" t="str">
        <x:v>TC05A, TC05B</x:v>
      </x:c>
      <x:c r="N10" s="36" t="str">
        <x:v>P03</x:v>
      </x:c>
      <x:c r="O10" s="36" t="str">
        <x:v>E05A, E05B, E05C</x:v>
      </x:c>
      <x:c r="P10" s="67" t="str">
        <x:v>Not Started</x:v>
      </x:c>
    </x:row>
    <x:row r="11" ht="74" customHeight="1">
      <x:c r="A11" s="35" t="n">
        <x:v>6</x:v>
      </x:c>
      <x:c r="B11" s="36" t="str">
        <x:v>GenAI requirements analysis and basic solution architecture</x:v>
      </x:c>
      <x:c r="C11" s="36" t="str">
        <x:f>'Entry Interpretation'!F11</x:f>
        <x:v>Enter or complete entry evidence</x:v>
      </x:c>
      <x:c r="D11" s="36" t="str">
        <x:v>1, 3, 4, 5</x:v>
      </x:c>
      <x:c r="E11" s="36" t="str">
        <x:v>Level 4 — Select/Diagnose</x:v>
      </x:c>
      <x:c r="F11" s="36" t="str">
        <x:v>Hard</x:v>
      </x:c>
      <x:c r="G11" s="36" t="str">
        <x:v>Conceptual; Conditional; Strategic</x:v>
      </x:c>
      <x:c r="H11" s="36" t="str">
        <x:v>Requirements case study and architecture decision record</x:v>
      </x:c>
      <x:c r="I11" s="36" t="str">
        <x:v>Translate business needs and constraints into measurable requirements, an MVP, and a defensible basic architecture.</x:v>
      </x:c>
      <x:c r="J11" s="36" t="str">
        <x:v>Requirements workshop followed by architecture sketch and ADR.</x:v>
      </x:c>
      <x:c r="K11" s="36" t="str">
        <x:v>Convert a vague assistant request into measurable acceptance criteria and architecture choices.</x:v>
      </x:c>
      <x:c r="L11" s="36" t="str">
        <x:v>Requirements sheet, architecture diagram, and ADR</x:v>
      </x:c>
      <x:c r="M11" s="36" t="str">
        <x:v>TC06A, TC06B</x:v>
      </x:c>
      <x:c r="N11" s="36" t="str">
        <x:v>P02, P03</x:v>
      </x:c>
      <x:c r="O11" s="36" t="str">
        <x:v>E06A, E06B, E06C</x:v>
      </x:c>
      <x:c r="P11" s="67" t="str">
        <x:v>Not Started</x:v>
      </x:c>
    </x:row>
    <x:row r="12" ht="74" customHeight="1">
      <x:c r="A12" s="35" t="n">
        <x:v>7</x:v>
      </x:c>
      <x:c r="B12" s="36" t="str">
        <x:v>Foundation-model capabilities, limitations, and basic model selection</x:v>
      </x:c>
      <x:c r="C12" s="36" t="str">
        <x:f>'Entry Interpretation'!F12</x:f>
        <x:v>Enter or complete entry evidence</x:v>
      </x:c>
      <x:c r="D12" s="36" t="str">
        <x:v>1, 2, 6</x:v>
      </x:c>
      <x:c r="E12" s="36" t="str">
        <x:v>Level 4 — Select/Diagnose</x:v>
      </x:c>
      <x:c r="F12" s="36" t="str">
        <x:v>Hard</x:v>
      </x:c>
      <x:c r="G12" s="36" t="str">
        <x:v>Declarative; Conditional; Strategic</x:v>
      </x:c>
      <x:c r="H12" s="36" t="str">
        <x:v>Model comparison matrix and selection scenarios</x:v>
      </x:c>
      <x:c r="I12" s="36" t="str">
        <x:v>Evaluate and select an FM using representative evidence rather than popularity or size.</x:v>
      </x:c>
      <x:c r="J12" s="36" t="str">
        <x:v>Model comparison matrix using weighted workload criteria.</x:v>
      </x:c>
      <x:c r="K12" s="36" t="str">
        <x:v>Rank three candidate models and perform sensitivity analysis on the weights.</x:v>
      </x:c>
      <x:c r="L12" s="36" t="str">
        <x:v>Weighted model-selection scorecard</x:v>
      </x:c>
      <x:c r="M12" s="36" t="str">
        <x:v>TC07A, TC07B</x:v>
      </x:c>
      <x:c r="N12" s="36" t="str">
        <x:v>P01, P04</x:v>
      </x:c>
      <x:c r="O12" s="36" t="str">
        <x:v>E07A, E07B, E07C</x:v>
      </x:c>
      <x:c r="P12" s="67" t="str">
        <x:v>Not Started</x:v>
      </x:c>
    </x:row>
    <x:row r="13" ht="74" customHeight="1">
      <x:c r="A13" s="35" t="n">
        <x:v>8</x:v>
      </x:c>
      <x:c r="B13" s="36" t="str">
        <x:v>Basic Amazon Bedrock model invocation</x:v>
      </x:c>
      <x:c r="C13" s="36" t="str">
        <x:f>'Entry Interpretation'!F13</x:f>
        <x:v>Enter or complete entry evidence</x:v>
      </x:c>
      <x:c r="D13" s="36" t="str">
        <x:v>3, 5, 7</x:v>
      </x:c>
      <x:c r="E13" s="36" t="str">
        <x:v>Level 3 — Apply/Implement</x:v>
      </x:c>
      <x:c r="F13" s="36" t="str">
        <x:v>Hard</x:v>
      </x:c>
      <x:c r="G13" s="36" t="str">
        <x:v>Procedural; Embedded</x:v>
      </x:c>
      <x:c r="H13" s="36" t="str">
        <x:v>Guided Bedrock API lab followed by independent invocation</x:v>
      </x:c>
      <x:c r="I13" s="36" t="str">
        <x:v>Invoke a Bedrock model securely, parse its response, and handle common permission, throttling, and timeout failures.</x:v>
      </x:c>
      <x:c r="J13" s="36" t="str">
        <x:v>Guided Bedrock quickstart followed by independent reproduction.</x:v>
      </x:c>
      <x:c r="K13" s="36" t="str">
        <x:v>Invoke a model, parse output, then troubleshoot an injected AccessDenied or throttling condition.</x:v>
      </x:c>
      <x:c r="L13" s="36" t="str">
        <x:v>Working Bedrock invocation and failure evidence</x:v>
      </x:c>
      <x:c r="M13" s="36" t="str">
        <x:v>TC08A, TC08B</x:v>
      </x:c>
      <x:c r="N13" s="36" t="str">
        <x:v>P04</x:v>
      </x:c>
      <x:c r="O13" s="36" t="str">
        <x:v>E08A, E08B, E08C</x:v>
      </x:c>
      <x:c r="P13" s="67" t="str">
        <x:v>Not Started</x:v>
      </x:c>
    </x:row>
    <x:row r="14" ht="74" customHeight="1">
      <x:c r="A14" s="35" t="n">
        <x:v>9</x:v>
      </x:c>
      <x:c r="B14" s="36" t="str">
        <x:v>Prompt fundamentals, instructions, templates, and structured outputs</x:v>
      </x:c>
      <x:c r="C14" s="36" t="str">
        <x:f>'Entry Interpretation'!F14</x:f>
        <x:v>Enter or complete entry evidence</x:v>
      </x:c>
      <x:c r="D14" s="36" t="str">
        <x:v>2, 8</x:v>
      </x:c>
      <x:c r="E14" s="36" t="str">
        <x:v>Level 3 — Apply/Implement</x:v>
      </x:c>
      <x:c r="F14" s="36" t="str">
        <x:v>Hard</x:v>
      </x:c>
      <x:c r="G14" s="36" t="str">
        <x:v>Conceptual; Procedural; Causal</x:v>
      </x:c>
      <x:c r="H14" s="36" t="str">
        <x:v>Prompt examples and iterative prompt laboratory</x:v>
      </x:c>
      <x:c r="I14" s="36" t="str">
        <x:v>Create reusable prompt templates with clear instruction hierarchy, variables, structured outputs, and validation.</x:v>
      </x:c>
      <x:c r="J14" s="36" t="str">
        <x:v>Prompt teardown, template construction, schema validation, and regression iteration.</x:v>
      </x:c>
      <x:c r="K14" s="36" t="str">
        <x:v>Transform an ad hoc prompt into a versioned extraction template and validate five edge cases.</x:v>
      </x:c>
      <x:c r="L14" s="36" t="str">
        <x:v>Versioned prompt, schema, validator, and regression set</x:v>
      </x:c>
      <x:c r="M14" s="36" t="str">
        <x:v>TC09A, TC09B</x:v>
      </x:c>
      <x:c r="N14" s="36" t="str">
        <x:v>P05</x:v>
      </x:c>
      <x:c r="O14" s="36" t="str">
        <x:v>E09A, E09B, E09C</x:v>
      </x:c>
      <x:c r="P14" s="67" t="str">
        <x:v>Not Started</x:v>
      </x:c>
    </x:row>
    <x:row r="15" ht="74" customHeight="1">
      <x:c r="A15" s="38" t="n">
        <x:v>10</x:v>
      </x:c>
      <x:c r="B15" s="39" t="str">
        <x:v>Basic GenAI evaluation concepts and golden datasets</x:v>
      </x:c>
      <x:c r="C15" s="39" t="str">
        <x:f>'Entry Interpretation'!F15</x:f>
        <x:v>Enter or complete entry evidence</x:v>
      </x:c>
      <x:c r="D15" s="39" t="str">
        <x:v>8, 9</x:v>
      </x:c>
      <x:c r="E15" s="39" t="str">
        <x:v>Level 4 — Select/Diagnose</x:v>
      </x:c>
      <x:c r="F15" s="39" t="str">
        <x:v>Hard</x:v>
      </x:c>
      <x:c r="G15" s="39" t="str">
        <x:v>Conceptual; Procedural</x:v>
      </x:c>
      <x:c r="H15" s="39" t="str">
        <x:v>Build a small golden dataset and score sample outputs</x:v>
      </x:c>
      <x:c r="I15" s="39" t="str">
        <x:v>Create a representative golden dataset, evaluate alternatives, analyze errors, and make a release decision.</x:v>
      </x:c>
      <x:c r="J15" s="39" t="str">
        <x:v>Golden-dataset construction, scoring rubric design, error analysis, and release review.</x:v>
      </x:c>
      <x:c r="K15" s="39" t="str">
        <x:v>Compare two prompt/model variants on a 15-case set and write a release recommendation.</x:v>
      </x:c>
      <x:c r="L15" s="39" t="str">
        <x:v>Golden dataset, score report, error analysis, and release decision</x:v>
      </x:c>
      <x:c r="M15" s="39" t="str">
        <x:v>TC10A, TC10B</x:v>
      </x:c>
      <x:c r="N15" s="39" t="str">
        <x:v>P06</x:v>
      </x:c>
      <x:c r="O15" s="39" t="str">
        <x:v>E10A, E10B, E10C</x:v>
      </x:c>
      <x:c r="P15" s="68" t="str">
        <x:v>Not Started</x:v>
      </x:c>
    </x:row>
  </x:sheetData>
  <x:mergeCells>
    <x:mergeCell ref="A1:P1"/>
    <x:mergeCell ref="A2:P3"/>
  </x:mergeCells>
  <x:dataValidations count="1">
    <x:dataValidation type="list" sqref="P6:P15">
      <x:formula1>"Not Started,In Progress,Ready for Topic Check,Topic Check Passed,Practical Complete,Ready for Exit"</x:formula1>
    </x:dataValidation>
  </x:dataValidations>
  <x:pageMargins left="0.7" right="0.7" top="0.75" bottom="0.75" header="0.3" footer="0.3"/>
  <x:tableParts count="1">
    <x:tablePart xmlns:r="http://schemas.openxmlformats.org/officeDocument/2006/relationships" r:id="R907eb0a99b5547ca"/>
  </x:tableParts>
</x:worksheet>
</file>

<file path=xl/worksheets/sheet4.xml><?xml version="1.0" encoding="utf-8"?>
<x:worksheet xmlns:x="http://schemas.openxmlformats.org/spreadsheetml/2006/main">
  <x:sheetFormatPr defaultRowHeight="15"/>
  <x:cols>
    <x:col min="1" max="1" width="11" hidden="0" customWidth="1"/>
    <x:col min="2" max="2" width="8" hidden="0" customWidth="1"/>
    <x:col min="3" max="3" width="40" hidden="0" customWidth="1"/>
    <x:col min="4" max="4" width="20" hidden="0" customWidth="1"/>
    <x:col min="5" max="5" width="60" hidden="0" customWidth="1"/>
    <x:col min="6" max="6" width="57" hidden="0" customWidth="1"/>
    <x:col min="7" max="7" width="38" hidden="0" customWidth="1"/>
    <x:col min="8" max="8" width="11" hidden="0" customWidth="1"/>
    <x:col min="9" max="9" width="11" hidden="0" customWidth="1"/>
    <x:col min="10" max="10" width="13" hidden="0" customWidth="1"/>
    <x:col min="11" max="11" width="11" hidden="0" customWidth="1"/>
    <x:col min="12" max="12" width="10" hidden="0" customWidth="1"/>
    <x:col min="13" max="13" width="13" hidden="0" customWidth="1"/>
    <x:col min="14" max="14" width="14" hidden="0" customWidth="1"/>
    <x:col min="15" max="15" width="24" hidden="0" customWidth="1"/>
    <x:col min="16" max="16" width="48" hidden="0" customWidth="1"/>
    <x:col min="17" max="17" width="45" hidden="0" customWidth="1"/>
    <x:col min="18" max="18" width="12" hidden="0" customWidth="1"/>
  </x:cols>
  <x:sheetData>
    <x:row r="1" ht="30" customHeight="1">
      <x:c r="A1" s="5" t="str">
        <x:v>Layer 0 Formative Topic Mastery Checks</x:v>
      </x:c>
      <x:c r="B1" s="5"/>
      <x:c r="C1" s="5"/>
      <x:c r="D1" s="5"/>
      <x:c r="E1" s="5"/>
      <x:c r="F1" s="5"/>
      <x:c r="G1" s="5"/>
      <x:c r="H1" s="5"/>
      <x:c r="I1" s="5"/>
      <x:c r="J1" s="5"/>
      <x:c r="K1" s="5"/>
      <x:c r="L1" s="5"/>
      <x:c r="M1" s="5"/>
      <x:c r="N1" s="5"/>
      <x:c r="O1" s="5"/>
      <x:c r="P1" s="5"/>
      <x:c r="Q1" s="5"/>
      <x:c r="R1" s="5"/>
    </x:row>
    <x:row r="2" ht="38" customHeight="1">
      <x:c r="A2" s="13" t="str">
        <x:v>Complete each topic check immediately after its learning activity. One multiple-choice item and one constructed task provide 10 points per topic. A topic check passes at 70%, but constructed work must also meet its own threshold. These are formative; the exit assessment remains the progression gate.</x:v>
      </x:c>
      <x:c r="B2" s="13"/>
      <x:c r="C2" s="13"/>
      <x:c r="D2" s="13"/>
      <x:c r="E2" s="13"/>
      <x:c r="F2" s="13"/>
      <x:c r="G2" s="13"/>
      <x:c r="H2" s="13"/>
      <x:c r="I2" s="13"/>
      <x:c r="J2" s="13"/>
      <x:c r="K2" s="13"/>
      <x:c r="L2" s="13"/>
      <x:c r="M2" s="13"/>
      <x:c r="N2" s="13"/>
      <x:c r="O2" s="13"/>
      <x:c r="P2" s="13"/>
      <x:c r="Q2" s="13"/>
      <x:c r="R2" s="13"/>
    </x:row>
    <x:row r="3" ht="38" customHeight="1">
      <x:c r="A3" s="13"/>
      <x:c r="B3" s="13"/>
      <x:c r="C3" s="13"/>
      <x:c r="D3" s="13"/>
      <x:c r="E3" s="13"/>
      <x:c r="F3" s="13"/>
      <x:c r="G3" s="13"/>
      <x:c r="H3" s="13"/>
      <x:c r="I3" s="13"/>
      <x:c r="J3" s="13"/>
      <x:c r="K3" s="13"/>
      <x:c r="L3" s="13"/>
      <x:c r="M3" s="13"/>
      <x:c r="N3" s="13"/>
      <x:c r="O3" s="13"/>
      <x:c r="P3" s="13"/>
      <x:c r="Q3" s="13"/>
      <x:c r="R3" s="13"/>
    </x:row>
    <x:row r="5">
      <x:c r="A5" s="22" t="str">
        <x:v>Item ID</x:v>
      </x:c>
      <x:c r="B5" s="22" t="str">
        <x:v>Topic</x:v>
      </x:c>
      <x:c r="C5" s="22" t="str">
        <x:v>Topic Name</x:v>
      </x:c>
      <x:c r="D5" s="22" t="str">
        <x:v>Question Type</x:v>
      </x:c>
      <x:c r="E5" s="22" t="str">
        <x:v>Question</x:v>
      </x:c>
      <x:c r="F5" s="22" t="str">
        <x:v>Options / Expected Format</x:v>
      </x:c>
      <x:c r="G5" s="22" t="str">
        <x:v>Learner Response</x:v>
      </x:c>
      <x:c r="H5" s="22" t="str">
        <x:v>Confidence</x:v>
      </x:c>
      <x:c r="I5" s="22" t="str">
        <x:v>Auto Score</x:v>
      </x:c>
      <x:c r="J5" s="22" t="str">
        <x:v>Assessor Score</x:v>
      </x:c>
      <x:c r="K5" s="22" t="str">
        <x:v>Final Score</x:v>
      </x:c>
      <x:c r="L5" s="22" t="str">
        <x:v>Max Score</x:v>
      </x:c>
      <x:c r="M5" s="22" t="str">
        <x:v>Pass Threshold</x:v>
      </x:c>
      <x:c r="N5" s="22" t="str">
        <x:v>Item Result</x:v>
      </x:c>
      <x:c r="O5" s="22" t="str">
        <x:v>Gap Type</x:v>
      </x:c>
      <x:c r="P5" s="22" t="str">
        <x:v>Remediation</x:v>
      </x:c>
      <x:c r="Q5" s="22" t="str">
        <x:v>Evidence / Feedback</x:v>
      </x:c>
      <x:c r="R5" s="22" t="str">
        <x:v>Topic Score Helper</x:v>
      </x:c>
    </x:row>
    <x:row r="6" ht="82" customHeight="1">
      <x:c r="A6" s="32" t="str">
        <x:v>TC01A</x:v>
      </x:c>
      <x:c r="B6" s="33" t="n">
        <x:v>1</x:v>
      </x:c>
      <x:c r="C6" s="33" t="str">
        <x:v>Foundation models and GenAI fundamentals</x:v>
      </x:c>
      <x:c r="D6" s="33" t="str">
        <x:v>Multiple Choice</x:v>
      </x:c>
      <x:c r="E6" s="33" t="str">
        <x:v>Which statement best describes a foundation model?</x:v>
      </x:c>
      <x:c r="F6" s="33" t="str">
        <x:v>A. A narrowly coded rules engine for one workflow
B. A broadly trained model that can support multiple downstream tasks through prompting or adaptation
C. A relational database index
D. A network firewall</x:v>
      </x:c>
      <x:c r="G6" s="62"/>
      <x:c r="H6" s="62"/>
      <x:c r="I6" s="33" t="str">
        <x:f>IF(D6="Multiple Choice",IF(G6="","",IF(UPPER(TRIM(G6))=VLOOKUP(A6,'Answer Key &amp; Rubrics'!$B$6:$J$59,5,FALSE),L6,0)),"")</x:f>
      </x:c>
      <x:c r="J6" s="62" t="str"/>
      <x:c r="K6" s="33" t="str">
        <x:f>IF(D6="Multiple Choice",I6,IF(J6="","",MIN(J6,L6)))</x:f>
      </x:c>
      <x:c r="L6" s="33" t="n">
        <x:v>2</x:v>
      </x:c>
      <x:c r="M6" s="33" t="n">
        <x:v>2</x:v>
      </x:c>
      <x:c r="N6" s="33" t="str">
        <x:f>IF(D6="Multiple Choice",IF(G6="","Not scored",IF(K6&gt;=M6,"Pass","Gap")),IF(J6="","Not scored",IF(K6&gt;=M6,"Pass","Gap")))</x:f>
        <x:v>Not scored</x:v>
      </x:c>
      <x:c r="O6" s="33" t="str">
        <x:v>Conceptual</x:v>
      </x:c>
      <x:c r="P6" s="33" t="str">
        <x:v>Review foundation-model lifecycle and compare it with narrow task-specific systems.</x:v>
      </x:c>
      <x:c r="Q6" s="62" t="str"/>
      <x:c r="R6" s="34" t="n">
        <x:v>1</x:v>
      </x:c>
    </x:row>
    <x:row r="7" ht="82" customHeight="1">
      <x:c r="A7" s="35" t="str">
        <x:v>TC01B</x:v>
      </x:c>
      <x:c r="B7" s="36" t="n">
        <x:v>1</x:v>
      </x:c>
      <x:c r="C7" s="36" t="str">
        <x:v>Foundation models and GenAI fundamentals</x:v>
      </x:c>
      <x:c r="D7" s="36" t="str">
        <x:v>Constructed Response</x:v>
      </x:c>
      <x:c r="E7" s="36" t="str">
        <x:v>Explain pre-training, inference, prompting, RAG, and fine-tuning as distinct stages or techniques. State what changes the model weights and what does not.</x:v>
      </x:c>
      <x:c r="F7" s="36" t="str">
        <x:v>Write 5–8 sentences or draw a labeled lifecycle diagram.</x:v>
      </x:c>
      <x:c r="G7" s="63" t="str"/>
      <x:c r="H7" s="63" t="str"/>
      <x:c r="I7" s="36" t="str">
        <x:f>IF(D7="Multiple Choice",IF(G7="","",IF(UPPER(TRIM(G7))=VLOOKUP(A7,'Answer Key &amp; Rubrics'!$B$6:$J$59,5,FALSE),L7,0)),"")</x:f>
      </x:c>
      <x:c r="J7" s="63" t="str"/>
      <x:c r="K7" s="36" t="str">
        <x:f>IF(D7="Multiple Choice",I7,IF(J7="","",MIN(J7,L7)))</x:f>
      </x:c>
      <x:c r="L7" s="36" t="n">
        <x:v>8</x:v>
      </x:c>
      <x:c r="M7" s="36" t="n">
        <x:v>6</x:v>
      </x:c>
      <x:c r="N7" s="36" t="str">
        <x:f>IF(D7="Multiple Choice",IF(G7="","Not scored",IF(K7&gt;=M7,"Pass","Gap")),IF(J7="","Not scored",IF(K7&gt;=M7,"Pass","Gap")))</x:f>
        <x:v>Not scored</x:v>
      </x:c>
      <x:c r="O7" s="36" t="str">
        <x:v>Conceptual</x:v>
      </x:c>
      <x:c r="P7" s="36" t="str">
        <x:v>Reconstruct the FM lifecycle from memory and classify five examples.</x:v>
      </x:c>
      <x:c r="Q7" s="63" t="str"/>
      <x:c r="R7" s="37" t="n">
        <x:v>1</x:v>
      </x:c>
    </x:row>
    <x:row r="8" ht="82" customHeight="1">
      <x:c r="A8" s="35" t="str">
        <x:v>TC02A</x:v>
      </x:c>
      <x:c r="B8" s="36" t="n">
        <x:v>2</x:v>
      </x:c>
      <x:c r="C8" s="36" t="str">
        <x:v>Tokens, context windows, inference, temperature, top-k, and top-p</x:v>
      </x:c>
      <x:c r="D8" s="36" t="str">
        <x:v>Multiple Choice</x:v>
      </x:c>
      <x:c r="E8" s="36" t="str">
        <x:v>What does the context window constrain?</x:v>
      </x:c>
      <x:c r="F8" s="36" t="str">
        <x:v>A. The total input and generated tokens a model can consider in one interaction
B. The number of IAM roles in an account
C. The number of S3 buckets
D. The number of AWS Regions</x:v>
      </x:c>
      <x:c r="G8" s="63" t="str"/>
      <x:c r="H8" s="63" t="str"/>
      <x:c r="I8" s="36" t="str">
        <x:f>IF(D8="Multiple Choice",IF(G8="","",IF(UPPER(TRIM(G8))=VLOOKUP(A8,'Answer Key &amp; Rubrics'!$B$6:$J$59,5,FALSE),L8,0)),"")</x:f>
      </x:c>
      <x:c r="J8" s="63" t="str"/>
      <x:c r="K8" s="36" t="str">
        <x:f>IF(D8="Multiple Choice",I8,IF(J8="","",MIN(J8,L8)))</x:f>
      </x:c>
      <x:c r="L8" s="36" t="n">
        <x:v>2</x:v>
      </x:c>
      <x:c r="M8" s="36" t="n">
        <x:v>2</x:v>
      </x:c>
      <x:c r="N8" s="36" t="str">
        <x:f>IF(D8="Multiple Choice",IF(G8="","Not scored",IF(K8&gt;=M8,"Pass","Gap")),IF(J8="","Not scored",IF(K8&gt;=M8,"Pass","Gap")))</x:f>
        <x:v>Not scored</x:v>
      </x:c>
      <x:c r="O8" s="36" t="str">
        <x:v>Declarative / Conceptual</x:v>
      </x:c>
      <x:c r="P8" s="36" t="str">
        <x:v>Work token-budget examples that include system instructions, user input, retrieved context, and output.</x:v>
      </x:c>
      <x:c r="Q8" s="63" t="str"/>
      <x:c r="R8" s="37" t="n">
        <x:v>2</x:v>
      </x:c>
    </x:row>
    <x:row r="9" ht="82" customHeight="1">
      <x:c r="A9" s="35" t="str">
        <x:v>TC02B</x:v>
      </x:c>
      <x:c r="B9" s="36" t="n">
        <x:v>2</x:v>
      </x:c>
      <x:c r="C9" s="36" t="str">
        <x:v>Tokens, context windows, inference, temperature, top-k, and top-p</x:v>
      </x:c>
      <x:c r="D9" s="36" t="str">
        <x:v>Constructed Response</x:v>
      </x:c>
      <x:c r="E9" s="36" t="str">
        <x:v>Predict how lowering temperature and top-p can affect response diversity and consistency. Explain why parameter behavior must still be tested per model.</x:v>
      </x:c>
      <x:c r="F9" s="36" t="str">
        <x:v>Give a concise causal explanation and one appropriate use case.</x:v>
      </x:c>
      <x:c r="G9" s="63" t="str"/>
      <x:c r="H9" s="63" t="str"/>
      <x:c r="I9" s="36" t="str">
        <x:f>IF(D9="Multiple Choice",IF(G9="","",IF(UPPER(TRIM(G9))=VLOOKUP(A9,'Answer Key &amp; Rubrics'!$B$6:$J$59,5,FALSE),L9,0)),"")</x:f>
      </x:c>
      <x:c r="J9" s="63" t="str"/>
      <x:c r="K9" s="36" t="str">
        <x:f>IF(D9="Multiple Choice",I9,IF(J9="","",MIN(J9,L9)))</x:f>
      </x:c>
      <x:c r="L9" s="36" t="n">
        <x:v>8</x:v>
      </x:c>
      <x:c r="M9" s="36" t="n">
        <x:v>6</x:v>
      </x:c>
      <x:c r="N9" s="36" t="str">
        <x:f>IF(D9="Multiple Choice",IF(G9="","Not scored",IF(K9&gt;=M9,"Pass","Gap")),IF(J9="","Not scored",IF(K9&gt;=M9,"Pass","Gap")))</x:f>
        <x:v>Not scored</x:v>
      </x:c>
      <x:c r="O9" s="36" t="str">
        <x:v>Causal / Conditional</x:v>
      </x:c>
      <x:c r="P9" s="36" t="str">
        <x:v>Run controlled parameter experiments while holding the prompt and model constant.</x:v>
      </x:c>
      <x:c r="Q9" s="63" t="str"/>
      <x:c r="R9" s="37" t="n">
        <x:v>2</x:v>
      </x:c>
    </x:row>
    <x:row r="10" ht="82" customHeight="1">
      <x:c r="A10" s="35" t="str">
        <x:v>TC03A</x:v>
      </x:c>
      <x:c r="B10" s="36" t="n">
        <x:v>3</x:v>
      </x:c>
      <x:c r="C10" s="36" t="str">
        <x:v>AWS GenAI service landscape: Bedrock, SageMaker AI, Lambda, API Gateway, Step Functions, SQS, EventBridge, S3, DynamoDB, OpenSearch, CloudWatch, X-Ray, IAM</x:v>
      </x:c>
      <x:c r="D10" s="36" t="str">
        <x:v>Multiple Choice</x:v>
      </x:c>
      <x:c r="E10" s="36" t="str">
        <x:v>Which service is the central managed foundation-model access layer in the Layer 0 AWS service map?</x:v>
      </x:c>
      <x:c r="F10" s="36" t="str">
        <x:v>A. Amazon Bedrock
B. Amazon Route 53
C. AWS Budgets
D. Amazon EBS</x:v>
      </x:c>
      <x:c r="G10" s="63" t="str"/>
      <x:c r="H10" s="63" t="str"/>
      <x:c r="I10" s="36" t="str">
        <x:f>IF(D10="Multiple Choice",IF(G10="","",IF(UPPER(TRIM(G10))=VLOOKUP(A10,'Answer Key &amp; Rubrics'!$B$6:$J$59,5,FALSE),L10,0)),"")</x:f>
      </x:c>
      <x:c r="J10" s="63" t="str"/>
      <x:c r="K10" s="36" t="str">
        <x:f>IF(D10="Multiple Choice",I10,IF(J10="","",MIN(J10,L10)))</x:f>
      </x:c>
      <x:c r="L10" s="36" t="n">
        <x:v>2</x:v>
      </x:c>
      <x:c r="M10" s="36" t="n">
        <x:v>2</x:v>
      </x:c>
      <x:c r="N10" s="36" t="str">
        <x:f>IF(D10="Multiple Choice",IF(G10="","Not scored",IF(K10&gt;=M10,"Pass","Gap")),IF(J10="","Not scored",IF(K10&gt;=M10,"Pass","Gap")))</x:f>
        <x:v>Not scored</x:v>
      </x:c>
      <x:c r="O10" s="36" t="str">
        <x:v>Declarative / Embedded</x:v>
      </x:c>
      <x:c r="P10" s="36" t="str">
        <x:v>Create a service map linking Bedrock, application integration, data, security, and observability services.</x:v>
      </x:c>
      <x:c r="Q10" s="63" t="str"/>
      <x:c r="R10" s="37" t="n">
        <x:v>3</x:v>
      </x:c>
    </x:row>
    <x:row r="11" ht="82" customHeight="1">
      <x:c r="A11" s="35" t="str">
        <x:v>TC03B</x:v>
      </x:c>
      <x:c r="B11" s="36" t="n">
        <x:v>3</x:v>
      </x:c>
      <x:c r="C11" s="36" t="str">
        <x:v>AWS GenAI service landscape: Bedrock, SageMaker AI, Lambda, API Gateway, Step Functions, SQS, EventBridge, S3, DynamoDB, OpenSearch, CloudWatch, X-Ray, IAM</x:v>
      </x:c>
      <x:c r="D11" s="36" t="str">
        <x:v>Constructed Response</x:v>
      </x:c>
      <x:c r="E11" s="36" t="str">
        <x:v>Create a service map for a simple GenAI application using Amazon Bedrock, Lambda, API Gateway, S3, DynamoDB or OpenSearch, CloudWatch/X-Ray, and IAM. Explain each service's role.</x:v>
      </x:c>
      <x:c r="F11" s="36" t="str">
        <x:v>Provide a diagram or a structured component table.</x:v>
      </x:c>
      <x:c r="G11" s="63" t="str"/>
      <x:c r="H11" s="63" t="str"/>
      <x:c r="I11" s="36" t="str">
        <x:f>IF(D11="Multiple Choice",IF(G11="","",IF(UPPER(TRIM(G11))=VLOOKUP(A11,'Answer Key &amp; Rubrics'!$B$6:$J$59,5,FALSE),L11,0)),"")</x:f>
      </x:c>
      <x:c r="J11" s="63" t="str"/>
      <x:c r="K11" s="36" t="str">
        <x:f>IF(D11="Multiple Choice",I11,IF(J11="","",MIN(J11,L11)))</x:f>
      </x:c>
      <x:c r="L11" s="36" t="n">
        <x:v>8</x:v>
      </x:c>
      <x:c r="M11" s="36" t="n">
        <x:v>6</x:v>
      </x:c>
      <x:c r="N11" s="36" t="str">
        <x:f>IF(D11="Multiple Choice",IF(G11="","Not scored",IF(K11&gt;=M11,"Pass","Gap")),IF(J11="","Not scored",IF(K11&gt;=M11,"Pass","Gap")))</x:f>
        <x:v>Not scored</x:v>
      </x:c>
      <x:c r="O11" s="36" t="str">
        <x:v>Conceptual / Embedded</x:v>
      </x:c>
      <x:c r="P11" s="36" t="str">
        <x:v>Redo the map using request flow rather than memorizing a service list.</x:v>
      </x:c>
      <x:c r="Q11" s="63" t="str"/>
      <x:c r="R11" s="37" t="n">
        <x:v>3</x:v>
      </x:c>
    </x:row>
    <x:row r="12" ht="82" customHeight="1">
      <x:c r="A12" s="35" t="str">
        <x:v>TC04A</x:v>
      </x:c>
      <x:c r="B12" s="36" t="n">
        <x:v>4</x:v>
      </x:c>
      <x:c r="C12" s="36" t="str">
        <x:v>API, event-driven, serverless, container, and workflow fundamentals</x:v>
      </x:c>
      <x:c r="D12" s="36" t="str">
        <x:v>Multiple Choice</x:v>
      </x:c>
      <x:c r="E12" s="36" t="str">
        <x:v>Which pattern best handles a long-running request while keeping the user-facing API responsive?</x:v>
      </x:c>
      <x:c r="F12" s="36" t="str">
        <x:v>A. A queue and asynchronous worker or workflow
B. An indefinitely open synchronous request
C. A larger prompt
D. A broader IAM role</x:v>
      </x:c>
      <x:c r="G12" s="63" t="str"/>
      <x:c r="H12" s="63" t="str"/>
      <x:c r="I12" s="36" t="str">
        <x:f>IF(D12="Multiple Choice",IF(G12="","",IF(UPPER(TRIM(G12))=VLOOKUP(A12,'Answer Key &amp; Rubrics'!$B$6:$J$59,5,FALSE),L12,0)),"")</x:f>
      </x:c>
      <x:c r="J12" s="63" t="str"/>
      <x:c r="K12" s="36" t="str">
        <x:f>IF(D12="Multiple Choice",I12,IF(J12="","",MIN(J12,L12)))</x:f>
      </x:c>
      <x:c r="L12" s="36" t="n">
        <x:v>2</x:v>
      </x:c>
      <x:c r="M12" s="36" t="n">
        <x:v>2</x:v>
      </x:c>
      <x:c r="N12" s="36" t="str">
        <x:f>IF(D12="Multiple Choice",IF(G12="","Not scored",IF(K12&gt;=M12,"Pass","Gap")),IF(J12="","Not scored",IF(K12&gt;=M12,"Pass","Gap")))</x:f>
        <x:v>Not scored</x:v>
      </x:c>
      <x:c r="O12" s="36" t="str">
        <x:v>Conditional</x:v>
      </x:c>
      <x:c r="P12" s="36" t="str">
        <x:v>Classify workloads into synchronous, streaming, asynchronous, event-driven, and workflow patterns.</x:v>
      </x:c>
      <x:c r="Q12" s="63" t="str"/>
      <x:c r="R12" s="37" t="n">
        <x:v>4</x:v>
      </x:c>
    </x:row>
    <x:row r="13" ht="82" customHeight="1">
      <x:c r="A13" s="35" t="str">
        <x:v>TC04B</x:v>
      </x:c>
      <x:c r="B13" s="36" t="n">
        <x:v>4</x:v>
      </x:c>
      <x:c r="C13" s="36" t="str">
        <x:v>API, event-driven, serverless, container, and workflow fundamentals</x:v>
      </x:c>
      <x:c r="D13" s="36" t="str">
        <x:v>Constructed Response</x:v>
      </x:c>
      <x:c r="E13" s="36" t="str">
        <x:v>Compare synchronous API, streaming, queue-based asynchronous processing, event-driven processing, containers, and orchestrated workflows. Give a suitable GenAI use case for each.</x:v>
      </x:c>
      <x:c r="F13" s="36" t="str">
        <x:v>Use a comparison table focused on latency, coupling, duration, scaling, and recovery.</x:v>
      </x:c>
      <x:c r="G13" s="63" t="str"/>
      <x:c r="H13" s="63" t="str"/>
      <x:c r="I13" s="36" t="str">
        <x:f>IF(D13="Multiple Choice",IF(G13="","",IF(UPPER(TRIM(G13))=VLOOKUP(A13,'Answer Key &amp; Rubrics'!$B$6:$J$59,5,FALSE),L13,0)),"")</x:f>
      </x:c>
      <x:c r="J13" s="63" t="str"/>
      <x:c r="K13" s="36" t="str">
        <x:f>IF(D13="Multiple Choice",I13,IF(J13="","",MIN(J13,L13)))</x:f>
      </x:c>
      <x:c r="L13" s="36" t="n">
        <x:v>8</x:v>
      </x:c>
      <x:c r="M13" s="36" t="n">
        <x:v>6</x:v>
      </x:c>
      <x:c r="N13" s="36" t="str">
        <x:f>IF(D13="Multiple Choice",IF(G13="","Not scored",IF(K13&gt;=M13,"Pass","Gap")),IF(J13="","Not scored",IF(K13&gt;=M13,"Pass","Gap")))</x:f>
        <x:v>Not scored</x:v>
      </x:c>
      <x:c r="O13" s="36" t="str">
        <x:v>Conditional / Strategic</x:v>
      </x:c>
      <x:c r="P13" s="36" t="str">
        <x:v>Redesign one workload using two alternatives and defend the better choice.</x:v>
      </x:c>
      <x:c r="Q13" s="63" t="str"/>
      <x:c r="R13" s="37" t="n">
        <x:v>4</x:v>
      </x:c>
    </x:row>
    <x:row r="14" ht="82" customHeight="1">
      <x:c r="A14" s="35" t="str">
        <x:v>TC05A</x:v>
      </x:c>
      <x:c r="B14" s="36" t="n">
        <x:v>5</x:v>
      </x:c>
      <x:c r="C14" s="36" t="str">
        <x:v>IAM, trust boundaries, least privilege, networking, and data-protection fundamentals</x:v>
      </x:c>
      <x:c r="D14" s="36" t="str">
        <x:v>Multiple Choice</x:v>
      </x:c>
      <x:c r="E14" s="36" t="str">
        <x:v>Which IAM policy most closely follows least privilege for a Bedrock application?</x:v>
      </x:c>
      <x:c r="F14" s="36" t="str">
        <x:v>A. AdministratorAccess for all application components
B. bedrock:* on * for every user
C. Only required Bedrock actions and specific data resources for the application role
D. Public unauthenticated invocation</x:v>
      </x:c>
      <x:c r="G14" s="63" t="str"/>
      <x:c r="H14" s="63" t="str"/>
      <x:c r="I14" s="36" t="str">
        <x:f>IF(D14="Multiple Choice",IF(G14="","",IF(UPPER(TRIM(G14))=VLOOKUP(A14,'Answer Key &amp; Rubrics'!$B$6:$J$59,5,FALSE),L14,0)),"")</x:f>
      </x:c>
      <x:c r="J14" s="63" t="str"/>
      <x:c r="K14" s="36" t="str">
        <x:f>IF(D14="Multiple Choice",I14,IF(J14="","",MIN(J14,L14)))</x:f>
      </x:c>
      <x:c r="L14" s="36" t="n">
        <x:v>2</x:v>
      </x:c>
      <x:c r="M14" s="36" t="n">
        <x:v>2</x:v>
      </x:c>
      <x:c r="N14" s="36" t="str">
        <x:f>IF(D14="Multiple Choice",IF(G14="","Not scored",IF(K14&gt;=M14,"Pass","Gap")),IF(J14="","Not scored",IF(K14&gt;=M14,"Pass","Gap")))</x:f>
        <x:v>Not scored</x:v>
      </x:c>
      <x:c r="O14" s="36" t="str">
        <x:v>Normative / Embedded</x:v>
      </x:c>
      <x:c r="P14" s="36" t="str">
        <x:v>Write and test a narrowly scoped execution role and denied-operation cases.</x:v>
      </x:c>
      <x:c r="Q14" s="63" t="str"/>
      <x:c r="R14" s="37" t="n">
        <x:v>5</x:v>
      </x:c>
    </x:row>
    <x:row r="15" ht="82" customHeight="1">
      <x:c r="A15" s="35" t="str">
        <x:v>TC05B</x:v>
      </x:c>
      <x:c r="B15" s="36" t="n">
        <x:v>5</x:v>
      </x:c>
      <x:c r="C15" s="36" t="str">
        <x:v>IAM, trust boundaries, least privilege, networking, and data-protection fundamentals</x:v>
      </x:c>
      <x:c r="D15" s="36" t="str">
        <x:v>Constructed Response</x:v>
      </x:c>
      <x:c r="E15" s="36" t="str">
        <x:v>Draw trust boundaries for an internal document assistant. Identify identities, sensitive data flows, allowed actions, prohibited actions, network boundaries, encryption, and logging.</x:v>
      </x:c>
      <x:c r="F15" s="36" t="str">
        <x:v>Provide a diagram plus a short control rationale.</x:v>
      </x:c>
      <x:c r="G15" s="63" t="str"/>
      <x:c r="H15" s="63" t="str"/>
      <x:c r="I15" s="36" t="str">
        <x:f>IF(D15="Multiple Choice",IF(G15="","",IF(UPPER(TRIM(G15))=VLOOKUP(A15,'Answer Key &amp; Rubrics'!$B$6:$J$59,5,FALSE),L15,0)),"")</x:f>
      </x:c>
      <x:c r="J15" s="63" t="str"/>
      <x:c r="K15" s="36" t="str">
        <x:f>IF(D15="Multiple Choice",I15,IF(J15="","",MIN(J15,L15)))</x:f>
      </x:c>
      <x:c r="L15" s="36" t="n">
        <x:v>8</x:v>
      </x:c>
      <x:c r="M15" s="36" t="n">
        <x:v>6</x:v>
      </x:c>
      <x:c r="N15" s="36" t="str">
        <x:f>IF(D15="Multiple Choice",IF(G15="","Not scored",IF(K15&gt;=M15,"Pass","Gap")),IF(J15="","Not scored",IF(K15&gt;=M15,"Pass","Gap")))</x:f>
        <x:v>Not scored</x:v>
      </x:c>
      <x:c r="O15" s="36" t="str">
        <x:v>Strategic / Normative</x:v>
      </x:c>
      <x:c r="P15" s="36" t="str">
        <x:v>Use threat and trust-boundary analysis, then verify denied data and API paths.</x:v>
      </x:c>
      <x:c r="Q15" s="63" t="str"/>
      <x:c r="R15" s="37" t="n">
        <x:v>5</x:v>
      </x:c>
    </x:row>
    <x:row r="16" ht="82" customHeight="1">
      <x:c r="A16" s="35" t="str">
        <x:v>TC06A</x:v>
      </x:c>
      <x:c r="B16" s="36" t="n">
        <x:v>6</x:v>
      </x:c>
      <x:c r="C16" s="36" t="str">
        <x:v>GenAI requirements analysis and basic solution architecture</x:v>
      </x:c>
      <x:c r="D16" s="36" t="str">
        <x:v>Multiple Choice</x:v>
      </x:c>
      <x:c r="E16" s="36" t="str">
        <x:v>What should be established before selecting an FM or AWS architecture?</x:v>
      </x:c>
      <x:c r="F16" s="36" t="str">
        <x:v>A. Business outcome, users, data, quality, latency, cost, security, compliance, and operational constraints
B. The most popular model name
C. A random Region
D. A maximum temperature</x:v>
      </x:c>
      <x:c r="G16" s="63" t="str"/>
      <x:c r="H16" s="63" t="str"/>
      <x:c r="I16" s="36" t="str">
        <x:f>IF(D16="Multiple Choice",IF(G16="","",IF(UPPER(TRIM(G16))=VLOOKUP(A16,'Answer Key &amp; Rubrics'!$B$6:$J$59,5,FALSE),L16,0)),"")</x:f>
      </x:c>
      <x:c r="J16" s="63" t="str"/>
      <x:c r="K16" s="36" t="str">
        <x:f>IF(D16="Multiple Choice",I16,IF(J16="","",MIN(J16,L16)))</x:f>
      </x:c>
      <x:c r="L16" s="36" t="n">
        <x:v>2</x:v>
      </x:c>
      <x:c r="M16" s="36" t="n">
        <x:v>2</x:v>
      </x:c>
      <x:c r="N16" s="36" t="str">
        <x:f>IF(D16="Multiple Choice",IF(G16="","Not scored",IF(K16&gt;=M16,"Pass","Gap")),IF(J16="","Not scored",IF(K16&gt;=M16,"Pass","Gap")))</x:f>
        <x:v>Not scored</x:v>
      </x:c>
      <x:c r="O16" s="36" t="str">
        <x:v>Strategic</x:v>
      </x:c>
      <x:c r="P16" s="36" t="str">
        <x:v>Practice converting ambiguous requests into measurable functional and nonfunctional requirements.</x:v>
      </x:c>
      <x:c r="Q16" s="63" t="str"/>
      <x:c r="R16" s="37" t="n">
        <x:v>6</x:v>
      </x:c>
    </x:row>
    <x:row r="17" ht="82" customHeight="1">
      <x:c r="A17" s="35" t="str">
        <x:v>TC06B</x:v>
      </x:c>
      <x:c r="B17" s="36" t="n">
        <x:v>6</x:v>
      </x:c>
      <x:c r="C17" s="36" t="str">
        <x:v>GenAI requirements analysis and basic solution architecture</x:v>
      </x:c>
      <x:c r="D17" s="36" t="str">
        <x:v>Constructed Response</x:v>
      </x:c>
      <x:c r="E17" s="36" t="str">
        <x:v>Design a basic architecture for an employee policy assistant. Include requirements, request flow, main AWS services, security controls, evaluation, and key trade-offs.</x:v>
      </x:c>
      <x:c r="F17" s="36" t="str">
        <x:v>Provide a concise architecture and an architecture decision record.</x:v>
      </x:c>
      <x:c r="G17" s="63" t="str"/>
      <x:c r="H17" s="63" t="str"/>
      <x:c r="I17" s="36" t="str">
        <x:f>IF(D17="Multiple Choice",IF(G17="","",IF(UPPER(TRIM(G17))=VLOOKUP(A17,'Answer Key &amp; Rubrics'!$B$6:$J$59,5,FALSE),L17,0)),"")</x:f>
      </x:c>
      <x:c r="J17" s="63" t="str"/>
      <x:c r="K17" s="36" t="str">
        <x:f>IF(D17="Multiple Choice",I17,IF(J17="","",MIN(J17,L17)))</x:f>
      </x:c>
      <x:c r="L17" s="36" t="n">
        <x:v>8</x:v>
      </x:c>
      <x:c r="M17" s="36" t="n">
        <x:v>6</x:v>
      </x:c>
      <x:c r="N17" s="36" t="str">
        <x:f>IF(D17="Multiple Choice",IF(G17="","Not scored",IF(K17&gt;=M17,"Pass","Gap")),IF(J17="","Not scored",IF(K17&gt;=M17,"Pass","Gap")))</x:f>
        <x:v>Not scored</x:v>
      </x:c>
      <x:c r="O17" s="36" t="str">
        <x:v>Strategic / Tacit</x:v>
      </x:c>
      <x:c r="P17" s="36" t="str">
        <x:v>Complete a requirements-to-design case and defend why plausible alternatives were rejected.</x:v>
      </x:c>
      <x:c r="Q17" s="63" t="str"/>
      <x:c r="R17" s="37" t="n">
        <x:v>6</x:v>
      </x:c>
    </x:row>
    <x:row r="18" ht="82" customHeight="1">
      <x:c r="A18" s="35" t="str">
        <x:v>TC07A</x:v>
      </x:c>
      <x:c r="B18" s="36" t="n">
        <x:v>7</x:v>
      </x:c>
      <x:c r="C18" s="36" t="str">
        <x:v>Foundation-model capabilities, limitations, and basic model selection</x:v>
      </x:c>
      <x:c r="D18" s="36" t="str">
        <x:v>Multiple Choice</x:v>
      </x:c>
      <x:c r="E18" s="36" t="str">
        <x:v>Which criterion should not be used alone to select a foundation model?</x:v>
      </x:c>
      <x:c r="F18" s="36" t="str">
        <x:v>A. Representative task quality
B. Context and modality support
C. Cost and latency
D. Parameter count or popularity</x:v>
      </x:c>
      <x:c r="G18" s="63" t="str"/>
      <x:c r="H18" s="63" t="str"/>
      <x:c r="I18" s="36" t="str">
        <x:f>IF(D18="Multiple Choice",IF(G18="","",IF(UPPER(TRIM(G18))=VLOOKUP(A18,'Answer Key &amp; Rubrics'!$B$6:$J$59,5,FALSE),L18,0)),"")</x:f>
      </x:c>
      <x:c r="J18" s="63" t="str"/>
      <x:c r="K18" s="36" t="str">
        <x:f>IF(D18="Multiple Choice",I18,IF(J18="","",MIN(J18,L18)))</x:f>
      </x:c>
      <x:c r="L18" s="36" t="n">
        <x:v>2</x:v>
      </x:c>
      <x:c r="M18" s="36" t="n">
        <x:v>2</x:v>
      </x:c>
      <x:c r="N18" s="36" t="str">
        <x:f>IF(D18="Multiple Choice",IF(G18="","Not scored",IF(K18&gt;=M18,"Pass","Gap")),IF(J18="","Not scored",IF(K18&gt;=M18,"Pass","Gap")))</x:f>
        <x:v>Not scored</x:v>
      </x:c>
      <x:c r="O18" s="36" t="str">
        <x:v>Conditional / Strategic</x:v>
      </x:c>
      <x:c r="P18" s="36" t="str">
        <x:v>Build a weighted scorecard from real workload requirements.</x:v>
      </x:c>
      <x:c r="Q18" s="63" t="str"/>
      <x:c r="R18" s="37" t="n">
        <x:v>7</x:v>
      </x:c>
    </x:row>
    <x:row r="19" ht="82" customHeight="1">
      <x:c r="A19" s="35" t="str">
        <x:v>TC07B</x:v>
      </x:c>
      <x:c r="B19" s="36" t="n">
        <x:v>7</x:v>
      </x:c>
      <x:c r="C19" s="36" t="str">
        <x:v>Foundation-model capabilities, limitations, and basic model selection</x:v>
      </x:c>
      <x:c r="D19" s="36" t="str">
        <x:v>Constructed Response</x:v>
      </x:c>
      <x:c r="E19" s="36" t="str">
        <x:v>Compare three hypothetical models for a customer-support summarization workload. Define weighted criteria and recommend one model while explaining why the other two are inferior.</x:v>
      </x:c>
      <x:c r="F19" s="36" t="str">
        <x:v>Include quality, context, latency, cost, Region, modality, safety, and API compatibility as applicable.</x:v>
      </x:c>
      <x:c r="G19" s="63" t="str"/>
      <x:c r="H19" s="63" t="str"/>
      <x:c r="I19" s="36" t="str">
        <x:f>IF(D19="Multiple Choice",IF(G19="","",IF(UPPER(TRIM(G19))=VLOOKUP(A19,'Answer Key &amp; Rubrics'!$B$6:$J$59,5,FALSE),L19,0)),"")</x:f>
      </x:c>
      <x:c r="J19" s="63" t="str"/>
      <x:c r="K19" s="36" t="str">
        <x:f>IF(D19="Multiple Choice",I19,IF(J19="","",MIN(J19,L19)))</x:f>
      </x:c>
      <x:c r="L19" s="36" t="n">
        <x:v>8</x:v>
      </x:c>
      <x:c r="M19" s="36" t="n">
        <x:v>6</x:v>
      </x:c>
      <x:c r="N19" s="36" t="str">
        <x:f>IF(D19="Multiple Choice",IF(G19="","Not scored",IF(K19&gt;=M19,"Pass","Gap")),IF(J19="","Not scored",IF(K19&gt;=M19,"Pass","Gap")))</x:f>
        <x:v>Not scored</x:v>
      </x:c>
      <x:c r="O19" s="36" t="str">
        <x:v>Strategic</x:v>
      </x:c>
      <x:c r="P19" s="36" t="str">
        <x:v>Repeat the model-selection exercise with a different workload and constraints.</x:v>
      </x:c>
      <x:c r="Q19" s="63" t="str"/>
      <x:c r="R19" s="37" t="n">
        <x:v>7</x:v>
      </x:c>
    </x:row>
    <x:row r="20" ht="82" customHeight="1">
      <x:c r="A20" s="35" t="str">
        <x:v>TC08A</x:v>
      </x:c>
      <x:c r="B20" s="36" t="n">
        <x:v>8</x:v>
      </x:c>
      <x:c r="C20" s="36" t="str">
        <x:v>Basic Amazon Bedrock model invocation</x:v>
      </x:c>
      <x:c r="D20" s="36" t="str">
        <x:v>Multiple Choice</x:v>
      </x:c>
      <x:c r="E20" s="36" t="str">
        <x:v>Which API family provides a consistent conversational interface across supported Amazon Bedrock models?</x:v>
      </x:c>
      <x:c r="F20" s="36" t="str">
        <x:v>A. Converse and ConverseStream
B. PutObject and GetObject
C. AssumeRole and PassRole
D. StartExecution only</x:v>
      </x:c>
      <x:c r="G20" s="63" t="str"/>
      <x:c r="H20" s="63" t="str"/>
      <x:c r="I20" s="36" t="str">
        <x:f>IF(D20="Multiple Choice",IF(G20="","",IF(UPPER(TRIM(G20))=VLOOKUP(A20,'Answer Key &amp; Rubrics'!$B$6:$J$59,5,FALSE),L20,0)),"")</x:f>
      </x:c>
      <x:c r="J20" s="63" t="str"/>
      <x:c r="K20" s="36" t="str">
        <x:f>IF(D20="Multiple Choice",I20,IF(J20="","",MIN(J20,L20)))</x:f>
      </x:c>
      <x:c r="L20" s="36" t="n">
        <x:v>2</x:v>
      </x:c>
      <x:c r="M20" s="36" t="n">
        <x:v>2</x:v>
      </x:c>
      <x:c r="N20" s="36" t="str">
        <x:f>IF(D20="Multiple Choice",IF(G20="","Not scored",IF(K20&gt;=M20,"Pass","Gap")),IF(J20="","Not scored",IF(K20&gt;=M20,"Pass","Gap")))</x:f>
        <x:v>Not scored</x:v>
      </x:c>
      <x:c r="O20" s="36" t="str">
        <x:v>Declarative / Embedded</x:v>
      </x:c>
      <x:c r="P20" s="36" t="str">
        <x:v>Compare InvokeModel with Converse and identify model/API compatibility.</x:v>
      </x:c>
      <x:c r="Q20" s="63" t="str"/>
      <x:c r="R20" s="37" t="n">
        <x:v>8</x:v>
      </x:c>
    </x:row>
    <x:row r="21" ht="82" customHeight="1">
      <x:c r="A21" s="35" t="str">
        <x:v>TC08B</x:v>
      </x:c>
      <x:c r="B21" s="36" t="n">
        <x:v>8</x:v>
      </x:c>
      <x:c r="C21" s="36" t="str">
        <x:v>Basic Amazon Bedrock model invocation</x:v>
      </x:c>
      <x:c r="D21" s="36" t="str">
        <x:v>Constructed Response</x:v>
      </x:c>
      <x:c r="E21" s="36" t="str">
        <x:v>Implement or write executable-quality pseudocode for a Bedrock inference call. Include authentication, model identifier, request payload, inference parameters, response parsing, timeout/retry behavior, and AccessDenied/throttling handling.</x:v>
      </x:c>
      <x:c r="F21" s="36" t="str">
        <x:v>Submit code or detailed pseudocode plus a test result.</x:v>
      </x:c>
      <x:c r="G21" s="63" t="str"/>
      <x:c r="H21" s="63" t="str"/>
      <x:c r="I21" s="36" t="str">
        <x:f>IF(D21="Multiple Choice",IF(G21="","",IF(UPPER(TRIM(G21))=VLOOKUP(A21,'Answer Key &amp; Rubrics'!$B$6:$J$59,5,FALSE),L21,0)),"")</x:f>
      </x:c>
      <x:c r="J21" s="63" t="str"/>
      <x:c r="K21" s="36" t="str">
        <x:f>IF(D21="Multiple Choice",I21,IF(J21="","",MIN(J21,L21)))</x:f>
      </x:c>
      <x:c r="L21" s="36" t="n">
        <x:v>8</x:v>
      </x:c>
      <x:c r="M21" s="36" t="n">
        <x:v>6</x:v>
      </x:c>
      <x:c r="N21" s="36" t="str">
        <x:f>IF(D21="Multiple Choice",IF(G21="","Not scored",IF(K21&gt;=M21,"Pass","Gap")),IF(J21="","Not scored",IF(K21&gt;=M21,"Pass","Gap")))</x:f>
        <x:v>Not scored</x:v>
      </x:c>
      <x:c r="O21" s="36" t="str">
        <x:v>Procedural / Embedded</x:v>
      </x:c>
      <x:c r="P21" s="36" t="str">
        <x:v>Complete the Bedrock quickstart and then reproduce it without copying the sample.</x:v>
      </x:c>
      <x:c r="Q21" s="63" t="str"/>
      <x:c r="R21" s="37" t="n">
        <x:v>8</x:v>
      </x:c>
    </x:row>
    <x:row r="22" ht="82" customHeight="1">
      <x:c r="A22" s="35" t="str">
        <x:v>TC09A</x:v>
      </x:c>
      <x:c r="B22" s="36" t="n">
        <x:v>9</x:v>
      </x:c>
      <x:c r="C22" s="36" t="str">
        <x:v>Prompt fundamentals, instructions, templates, and structured outputs</x:v>
      </x:c>
      <x:c r="D22" s="36" t="str">
        <x:v>Multiple Choice</x:v>
      </x:c>
      <x:c r="E22" s="36" t="str">
        <x:v>Which prompt design most reliably separates reusable instructions from variable user data?</x:v>
      </x:c>
      <x:c r="F22" s="36" t="str">
        <x:v>A. A versioned template with explicit variables and delimiters
B. A single unstructured paragraph copied into code
C. A higher temperature
D. A public S3 bucket</x:v>
      </x:c>
      <x:c r="G22" s="63" t="str"/>
      <x:c r="H22" s="63" t="str"/>
      <x:c r="I22" s="36" t="str">
        <x:f>IF(D22="Multiple Choice",IF(G22="","",IF(UPPER(TRIM(G22))=VLOOKUP(A22,'Answer Key &amp; Rubrics'!$B$6:$J$59,5,FALSE),L22,0)),"")</x:f>
      </x:c>
      <x:c r="J22" s="63" t="str"/>
      <x:c r="K22" s="36" t="str">
        <x:f>IF(D22="Multiple Choice",I22,IF(J22="","",MIN(J22,L22)))</x:f>
      </x:c>
      <x:c r="L22" s="36" t="n">
        <x:v>2</x:v>
      </x:c>
      <x:c r="M22" s="36" t="n">
        <x:v>2</x:v>
      </x:c>
      <x:c r="N22" s="36" t="str">
        <x:f>IF(D22="Multiple Choice",IF(G22="","Not scored",IF(K22&gt;=M22,"Pass","Gap")),IF(J22="","Not scored",IF(K22&gt;=M22,"Pass","Gap")))</x:f>
        <x:v>Not scored</x:v>
      </x:c>
      <x:c r="O22" s="36" t="str">
        <x:v>Procedural</x:v>
      </x:c>
      <x:c r="P22" s="36" t="str">
        <x:v>Convert an ad hoc prompt into a reusable, versioned template.</x:v>
      </x:c>
      <x:c r="Q22" s="63" t="str"/>
      <x:c r="R22" s="37" t="n">
        <x:v>9</x:v>
      </x:c>
    </x:row>
    <x:row r="23" ht="82" customHeight="1">
      <x:c r="A23" s="35" t="str">
        <x:v>TC09B</x:v>
      </x:c>
      <x:c r="B23" s="36" t="n">
        <x:v>9</x:v>
      </x:c>
      <x:c r="C23" s="36" t="str">
        <x:v>Prompt fundamentals, instructions, templates, and structured outputs</x:v>
      </x:c>
      <x:c r="D23" s="36" t="str">
        <x:v>Constructed Response</x:v>
      </x:c>
      <x:c r="E23" s="36" t="str">
        <x:v>Create a prompt template that extracts support-ticket fields into a specified JSON schema. Include instructions, delimiters, one example, failure behavior, and validation rules.</x:v>
      </x:c>
      <x:c r="F23" s="36" t="str">
        <x:v>Submit the prompt, schema, and at least three test results.</x:v>
      </x:c>
      <x:c r="G23" s="63" t="str"/>
      <x:c r="H23" s="63" t="str"/>
      <x:c r="I23" s="36" t="str">
        <x:f>IF(D23="Multiple Choice",IF(G23="","",IF(UPPER(TRIM(G23))=VLOOKUP(A23,'Answer Key &amp; Rubrics'!$B$6:$J$59,5,FALSE),L23,0)),"")</x:f>
      </x:c>
      <x:c r="J23" s="63" t="str"/>
      <x:c r="K23" s="36" t="str">
        <x:f>IF(D23="Multiple Choice",I23,IF(J23="","",MIN(J23,L23)))</x:f>
      </x:c>
      <x:c r="L23" s="36" t="n">
        <x:v>8</x:v>
      </x:c>
      <x:c r="M23" s="36" t="n">
        <x:v>6</x:v>
      </x:c>
      <x:c r="N23" s="36" t="str">
        <x:f>IF(D23="Multiple Choice",IF(G23="","Not scored",IF(K23&gt;=M23,"Pass","Gap")),IF(J23="","Not scored",IF(K23&gt;=M23,"Pass","Gap")))</x:f>
        <x:v>Not scored</x:v>
      </x:c>
      <x:c r="O23" s="36" t="str">
        <x:v>Procedural / Causal</x:v>
      </x:c>
      <x:c r="P23" s="36" t="str">
        <x:v>Iterate against a fixed test set until schema failures are controlled without critical regression.</x:v>
      </x:c>
      <x:c r="Q23" s="63" t="str"/>
      <x:c r="R23" s="37" t="n">
        <x:v>9</x:v>
      </x:c>
    </x:row>
    <x:row r="24" ht="82" customHeight="1">
      <x:c r="A24" s="35" t="str">
        <x:v>TC10A</x:v>
      </x:c>
      <x:c r="B24" s="36" t="n">
        <x:v>10</x:v>
      </x:c>
      <x:c r="C24" s="36" t="str">
        <x:v>Basic GenAI evaluation concepts and golden datasets</x:v>
      </x:c>
      <x:c r="D24" s="36" t="str">
        <x:v>Multiple Choice</x:v>
      </x:c>
      <x:c r="E24" s="36" t="str">
        <x:v>Which dataset is best for comparing two prompt versions?</x:v>
      </x:c>
      <x:c r="F24" s="36" t="str">
        <x:v>A. One easy prompt selected after seeing the outputs
B. A representative, versioned set with normal, edge, and failure cases plus expected outcomes or rubrics
C. Production secrets
D. Random unrelated text</x:v>
      </x:c>
      <x:c r="G24" s="63" t="str"/>
      <x:c r="H24" s="63" t="str"/>
      <x:c r="I24" s="36" t="str">
        <x:f>IF(D24="Multiple Choice",IF(G24="","",IF(UPPER(TRIM(G24))=VLOOKUP(A24,'Answer Key &amp; Rubrics'!$B$6:$J$59,5,FALSE),L24,0)),"")</x:f>
      </x:c>
      <x:c r="J24" s="63" t="str"/>
      <x:c r="K24" s="36" t="str">
        <x:f>IF(D24="Multiple Choice",I24,IF(J24="","",MIN(J24,L24)))</x:f>
      </x:c>
      <x:c r="L24" s="36" t="n">
        <x:v>2</x:v>
      </x:c>
      <x:c r="M24" s="36" t="n">
        <x:v>2</x:v>
      </x:c>
      <x:c r="N24" s="36" t="str">
        <x:f>IF(D24="Multiple Choice",IF(G24="","Not scored",IF(K24&gt;=M24,"Pass","Gap")),IF(J24="","Not scored",IF(K24&gt;=M24,"Pass","Gap")))</x:f>
        <x:v>Not scored</x:v>
      </x:c>
      <x:c r="O24" s="36" t="str">
        <x:v>Conceptual / Procedural</x:v>
      </x:c>
      <x:c r="P24" s="36" t="str">
        <x:v>Create a small golden set with coverage rationale and scoring criteria.</x:v>
      </x:c>
      <x:c r="Q24" s="63" t="str"/>
      <x:c r="R24" s="37" t="n">
        <x:v>10</x:v>
      </x:c>
    </x:row>
    <x:row r="25" ht="82" customHeight="1">
      <x:c r="A25" s="38" t="str">
        <x:v>TC10B</x:v>
      </x:c>
      <x:c r="B25" s="39" t="n">
        <x:v>10</x:v>
      </x:c>
      <x:c r="C25" s="39" t="str">
        <x:v>Basic GenAI evaluation concepts and golden datasets</x:v>
      </x:c>
      <x:c r="D25" s="39" t="str">
        <x:v>Constructed Response</x:v>
      </x:c>
      <x:c r="E25" s="39" t="str">
        <x:v>Build a 10-case golden dataset for the support-ticket extraction prompt. Define metrics or a rubric, score two prompt/model variants, analyze errors, and make a release decision.</x:v>
      </x:c>
      <x:c r="F25" s="39" t="str">
        <x:v>Submit the dataset, scoring results, error categories, and decision rationale.</x:v>
      </x:c>
      <x:c r="G25" s="72" t="str"/>
      <x:c r="H25" s="72" t="str"/>
      <x:c r="I25" s="39" t="str">
        <x:f>IF(D25="Multiple Choice",IF(G25="","",IF(UPPER(TRIM(G25))=VLOOKUP(A25,'Answer Key &amp; Rubrics'!$B$6:$J$59,5,FALSE),L25,0)),"")</x:f>
      </x:c>
      <x:c r="J25" s="72" t="str"/>
      <x:c r="K25" s="39" t="str">
        <x:f>IF(D25="Multiple Choice",I25,IF(J25="","",MIN(J25,L25)))</x:f>
      </x:c>
      <x:c r="L25" s="39" t="n">
        <x:v>8</x:v>
      </x:c>
      <x:c r="M25" s="39" t="n">
        <x:v>6</x:v>
      </x:c>
      <x:c r="N25" s="39" t="str">
        <x:f>IF(D25="Multiple Choice",IF(G25="","Not scored",IF(K25&gt;=M25,"Pass","Gap")),IF(J25="","Not scored",IF(K25&gt;=M25,"Pass","Gap")))</x:f>
        <x:v>Not scored</x:v>
      </x:c>
      <x:c r="O25" s="39" t="str">
        <x:v>Procedural / Strategic</x:v>
      </x:c>
      <x:c r="P25" s="39" t="str">
        <x:v>Revise the dataset and rubric to cover the failure modes missed in the first evaluation.</x:v>
      </x:c>
      <x:c r="Q25" s="72" t="str"/>
      <x:c r="R25" s="40" t="n">
        <x:v>10</x:v>
      </x:c>
    </x:row>
  </x:sheetData>
  <x:mergeCells>
    <x:mergeCell ref="A1:R1"/>
    <x:mergeCell ref="A2:R3"/>
  </x:mergeCells>
  <x:conditionalFormatting sqref="N6:N25">
    <x:cfRule type="expression" dxfId="4" priority="1">
      <x:formula>N6="Pass"</x:formula>
    </x:cfRule>
    <x:cfRule type="expression" dxfId="5" priority="2">
      <x:formula>N6="Gap"</x:formula>
    </x:cfRule>
  </x:conditionalFormatting>
  <x:dataValidations count="12">
    <x:dataValidation type="list" sqref="G6">
      <x:formula1>"A,B,C,D"</x:formula1>
    </x:dataValidation>
    <x:dataValidation type="list" sqref="G8">
      <x:formula1>"A,B,C,D"</x:formula1>
    </x:dataValidation>
    <x:dataValidation type="list" sqref="G10">
      <x:formula1>"A,B,C,D"</x:formula1>
    </x:dataValidation>
    <x:dataValidation type="list" sqref="G12">
      <x:formula1>"A,B,C,D"</x:formula1>
    </x:dataValidation>
    <x:dataValidation type="list" sqref="G14">
      <x:formula1>"A,B,C,D"</x:formula1>
    </x:dataValidation>
    <x:dataValidation type="list" sqref="G16">
      <x:formula1>"A,B,C,D"</x:formula1>
    </x:dataValidation>
    <x:dataValidation type="list" sqref="G18">
      <x:formula1>"A,B,C,D"</x:formula1>
    </x:dataValidation>
    <x:dataValidation type="list" sqref="G20">
      <x:formula1>"A,B,C,D"</x:formula1>
    </x:dataValidation>
    <x:dataValidation type="list" sqref="G22">
      <x:formula1>"A,B,C,D"</x:formula1>
    </x:dataValidation>
    <x:dataValidation type="list" sqref="G24">
      <x:formula1>"A,B,C,D"</x:formula1>
    </x:dataValidation>
    <x:dataValidation type="list" sqref="H6:H25">
      <x:formula1>"1,2,3,4,5"</x:formula1>
    </x:dataValidation>
    <x:dataValidation type="list" sqref="J6:J25">
      <x:formula1>"0,1,2,3,4,5,6,7,8"</x:formula1>
    </x:dataValidation>
  </x:dataValidations>
  <x:pageMargins left="0.7" right="0.7" top="0.75" bottom="0.75" header="0.3" footer="0.3"/>
  <x:tableParts count="1">
    <x:tablePart xmlns:r="http://schemas.openxmlformats.org/officeDocument/2006/relationships" r:id="Rd289f9bf6cc54ad5"/>
  </x:tableParts>
</x:worksheet>
</file>

<file path=xl/worksheets/sheet5.xml><?xml version="1.0" encoding="utf-8"?>
<x:worksheet xmlns:x="http://schemas.openxmlformats.org/spreadsheetml/2006/main">
  <x:sheetFormatPr defaultRowHeight="15"/>
  <x:cols>
    <x:col min="1" max="1" width="12" hidden="0" customWidth="1"/>
    <x:col min="2" max="2" width="15" hidden="0" customWidth="1"/>
    <x:col min="3" max="3" width="38" hidden="0" customWidth="1"/>
    <x:col min="4" max="4" width="52" hidden="0" customWidth="1"/>
    <x:col min="5" max="5" width="65" hidden="0" customWidth="1"/>
    <x:col min="6" max="6" width="45" hidden="0" customWidth="1"/>
    <x:col min="7" max="7" width="55" hidden="0" customWidth="1"/>
    <x:col min="8" max="8" width="10" hidden="0" customWidth="1"/>
    <x:col min="9" max="9" width="13" hidden="0" customWidth="1"/>
    <x:col min="10" max="10" width="16" hidden="0" customWidth="1"/>
    <x:col min="11" max="11" width="35" hidden="0" customWidth="1"/>
    <x:col min="12" max="12" width="13" hidden="0" customWidth="1"/>
    <x:col min="13" max="13" width="14" hidden="0" customWidth="1"/>
    <x:col min="14" max="14" width="50" hidden="0" customWidth="1"/>
  </x:cols>
  <x:sheetData>
    <x:row r="1" ht="30" customHeight="1">
      <x:c r="A1" s="5" t="str">
        <x:v>Layer 0 Required Practical Exercises</x:v>
      </x:c>
      <x:c r="B1" s="5"/>
      <x:c r="C1" s="5"/>
      <x:c r="D1" s="5"/>
      <x:c r="E1" s="5"/>
      <x:c r="F1" s="5"/>
      <x:c r="G1" s="5"/>
      <x:c r="H1" s="5"/>
      <x:c r="I1" s="5"/>
      <x:c r="J1" s="5"/>
      <x:c r="K1" s="5"/>
      <x:c r="L1" s="5"/>
      <x:c r="M1" s="5"/>
      <x:c r="N1" s="5"/>
    </x:row>
    <x:row r="2" ht="36" customHeight="1">
      <x:c r="A2" s="13" t="str">
        <x:v>All six practical artifacts are required. They total 100 points and each must independently reach 70%. Enter a score only after reviewing the artifact and evidence against the rubric.</x:v>
      </x:c>
      <x:c r="B2" s="13"/>
      <x:c r="C2" s="13"/>
      <x:c r="D2" s="13"/>
      <x:c r="E2" s="13"/>
      <x:c r="F2" s="13"/>
      <x:c r="G2" s="13"/>
      <x:c r="H2" s="13"/>
      <x:c r="I2" s="13"/>
      <x:c r="J2" s="13"/>
      <x:c r="K2" s="13"/>
      <x:c r="L2" s="13"/>
      <x:c r="M2" s="13"/>
      <x:c r="N2" s="13"/>
    </x:row>
    <x:row r="3" ht="36" customHeight="1">
      <x:c r="A3" s="13"/>
      <x:c r="B3" s="13"/>
      <x:c r="C3" s="13"/>
      <x:c r="D3" s="13"/>
      <x:c r="E3" s="13"/>
      <x:c r="F3" s="13"/>
      <x:c r="G3" s="13"/>
      <x:c r="H3" s="13"/>
      <x:c r="I3" s="13"/>
      <x:c r="J3" s="13"/>
      <x:c r="K3" s="13"/>
      <x:c r="L3" s="13"/>
      <x:c r="M3" s="13"/>
      <x:c r="N3" s="13"/>
    </x:row>
    <x:row r="5">
      <x:c r="A5" s="22" t="str">
        <x:v>Practical ID</x:v>
      </x:c>
      <x:c r="B5" s="22" t="str">
        <x:v>Related Topics</x:v>
      </x:c>
      <x:c r="C5" s="22" t="str">
        <x:v>Title</x:v>
      </x:c>
      <x:c r="D5" s="22" t="str">
        <x:v>Objective</x:v>
      </x:c>
      <x:c r="E5" s="22" t="str">
        <x:v>Required Steps</x:v>
      </x:c>
      <x:c r="F5" s="22" t="str">
        <x:v>Expected Artifact</x:v>
      </x:c>
      <x:c r="G5" s="22" t="str">
        <x:v>Scoring Rubric</x:v>
      </x:c>
      <x:c r="H5" s="22" t="str">
        <x:v>Max Score</x:v>
      </x:c>
      <x:c r="I5" s="22" t="str">
        <x:v>Pass Threshold</x:v>
      </x:c>
      <x:c r="J5" s="22" t="str">
        <x:v>Status</x:v>
      </x:c>
      <x:c r="K5" s="22" t="str">
        <x:v>Artifact Location</x:v>
      </x:c>
      <x:c r="L5" s="22" t="str">
        <x:v>Assessor Score</x:v>
      </x:c>
      <x:c r="M5" s="22" t="str">
        <x:v>Result</x:v>
      </x:c>
      <x:c r="N5" s="22" t="str">
        <x:v>Feedback / Required Corrections</x:v>
      </x:c>
    </x:row>
    <x:row r="6" ht="105" customHeight="1">
      <x:c r="A6" s="32" t="str">
        <x:v>P01</x:v>
      </x:c>
      <x:c r="B6" s="33" t="str">
        <x:v>1, 2, 7</x:v>
      </x:c>
      <x:c r="C6" s="33" t="str">
        <x:v>Foundation Model and Inference Parameter Experiment</x:v>
      </x:c>
      <x:c r="D6" s="33" t="str">
        <x:v>Observe how model choice and inference parameters affect quality, consistency, latency, token use, and cost.</x:v>
      </x:c>
      <x:c r="E6" s="33" t="str">
        <x:v>1. Select one repeatable task and test dataset. 2. Run at least two suitable models or model variants. 3. Vary one inference parameter at a time. 4. Record output quality, consistency, latency, and tokens. 5. Recommend a configuration with caveats.</x:v>
      </x:c>
      <x:c r="F6" s="33" t="str">
        <x:v>Experiment table, sample outputs, metrics, and one-page recommendation.</x:v>
      </x:c>
      <x:c r="G6" s="33" t="str">
        <x:v>3 points each: controlled experiment; correct parameter interpretation; representative data; measured results; justified recommendation.</x:v>
      </x:c>
      <x:c r="H6" s="33" t="n">
        <x:v>15</x:v>
      </x:c>
      <x:c r="I6" s="33" t="n">
        <x:v>10.5</x:v>
      </x:c>
      <x:c r="J6" s="62" t="str">
        <x:v>Not Started</x:v>
      </x:c>
      <x:c r="K6" s="62" t="str"/>
      <x:c r="L6" s="62" t="str"/>
      <x:c r="M6" s="33" t="str">
        <x:f>IF(L6="","Not scored",IF(L6&gt;=I6,"Pass","Gap"))</x:f>
        <x:v>Not scored</x:v>
      </x:c>
      <x:c r="N6" s="66" t="str"/>
    </x:row>
    <x:row r="7" ht="105" customHeight="1">
      <x:c r="A7" s="35" t="str">
        <x:v>P02</x:v>
      </x:c>
      <x:c r="B7" s="36" t="str">
        <x:v>3, 4, 6</x:v>
      </x:c>
      <x:c r="C7" s="36" t="str">
        <x:v>AWS GenAI Service Map and Interaction Architecture</x:v>
      </x:c>
      <x:c r="D7" s="36" t="str">
        <x:v>Translate application requirements into a coherent AWS request flow and integration pattern.</x:v>
      </x:c>
      <x:c r="E7" s="36" t="str">
        <x:v>1. Define users and workload. 2. Map API entry, compute/orchestration, model invocation, data/state, and observability. 3. Choose sync, streaming, async, event, or workflow behavior. 4. Mark failure handling and alternatives.</x:v>
      </x:c>
      <x:c r="F7" s="36" t="str">
        <x:v>Architecture diagram plus component and interaction rationale.</x:v>
      </x:c>
      <x:c r="G7" s="36" t="str">
        <x:v>3 points each: correct service roles; suitable interaction pattern; clear data/control flow; failure behavior; defensible trade-offs.</x:v>
      </x:c>
      <x:c r="H7" s="36" t="n">
        <x:v>15</x:v>
      </x:c>
      <x:c r="I7" s="36" t="n">
        <x:v>10.5</x:v>
      </x:c>
      <x:c r="J7" s="63" t="str">
        <x:v>Not Started</x:v>
      </x:c>
      <x:c r="K7" s="63" t="str"/>
      <x:c r="L7" s="63" t="str"/>
      <x:c r="M7" s="36" t="str">
        <x:f>IF(L7="","Not scored",IF(L7&gt;=I7,"Pass","Gap"))</x:f>
        <x:v>Not scored</x:v>
      </x:c>
      <x:c r="N7" s="67" t="str"/>
    </x:row>
    <x:row r="8" ht="105" customHeight="1">
      <x:c r="A8" s="35" t="str">
        <x:v>P03</x:v>
      </x:c>
      <x:c r="B8" s="36" t="str">
        <x:v>5, 6</x:v>
      </x:c>
      <x:c r="C8" s="36" t="str">
        <x:v>Trust Boundary, IAM, and Data Protection Review</x:v>
      </x:c>
      <x:c r="D8" s="36" t="str">
        <x:v>Design and verify least-privilege access and trust-boundary controls for a sensitive GenAI use case.</x:v>
      </x:c>
      <x:c r="E8" s="36" t="str">
        <x:v>1. Identify identities, assets, and trust zones. 2. Mark data/control crossings. 3. Define allowed and denied actions. 4. Design IAM and resource policies. 5. Add encryption, network, validation, and logging controls. 6. Test at least two denied paths.</x:v>
      </x:c>
      <x:c r="F8" s="36" t="str">
        <x:v>Trust-boundary diagram, permission matrix/policies, denied-test evidence, and residual-risk notes.</x:v>
      </x:c>
      <x:c r="G8" s="36" t="str">
        <x:v>4 points each: boundary analysis; least privilege; data/network protection; verification evidence; audit and residual-risk treatment.</x:v>
      </x:c>
      <x:c r="H8" s="36" t="n">
        <x:v>20</x:v>
      </x:c>
      <x:c r="I8" s="36" t="n">
        <x:v>14</x:v>
      </x:c>
      <x:c r="J8" s="63" t="str">
        <x:v>Not Started</x:v>
      </x:c>
      <x:c r="K8" s="63" t="str"/>
      <x:c r="L8" s="63" t="str"/>
      <x:c r="M8" s="36" t="str">
        <x:f>IF(L8="","Not scored",IF(L8&gt;=I8,"Pass","Gap"))</x:f>
        <x:v>Not scored</x:v>
      </x:c>
      <x:c r="N8" s="67" t="str"/>
    </x:row>
    <x:row r="9" ht="105" customHeight="1">
      <x:c r="A9" s="35" t="str">
        <x:v>P04</x:v>
      </x:c>
      <x:c r="B9" s="36" t="str">
        <x:v>7, 8</x:v>
      </x:c>
      <x:c r="C9" s="36" t="str">
        <x:v>Amazon Bedrock Model Invocation</x:v>
      </x:c>
      <x:c r="D9" s="36" t="str">
        <x:v>Invoke a selected Bedrock model securely and reliably using a supported API.</x:v>
      </x:c>
      <x:c r="E9" s="36" t="str">
        <x:v>1. Select a compatible model/API. 2. Configure workload identity. 3. Invoke the model with explicit parameters. 4. Parse the response. 5. Add timeout, bounded retry, and error handling. 6. Capture logs and test an injected failure.</x:v>
      </x:c>
      <x:c r="F9" s="36" t="str">
        <x:v>Working code or notebook, IAM details, success evidence, failure evidence, and implementation explanation.</x:v>
      </x:c>
      <x:c r="G9" s="36" t="str">
        <x:v>4 points each: secure identity; correct API/payload; robust response handling; bounded failure behavior; reproducible evidence.</x:v>
      </x:c>
      <x:c r="H9" s="36" t="n">
        <x:v>20</x:v>
      </x:c>
      <x:c r="I9" s="36" t="n">
        <x:v>14</x:v>
      </x:c>
      <x:c r="J9" s="63" t="str">
        <x:v>Not Started</x:v>
      </x:c>
      <x:c r="K9" s="63" t="str"/>
      <x:c r="L9" s="63" t="str"/>
      <x:c r="M9" s="36" t="str">
        <x:f>IF(L9="","Not scored",IF(L9&gt;=I9,"Pass","Gap"))</x:f>
        <x:v>Not scored</x:v>
      </x:c>
      <x:c r="N9" s="67" t="str"/>
    </x:row>
    <x:row r="10" ht="105" customHeight="1">
      <x:c r="A10" s="35" t="str">
        <x:v>P05</x:v>
      </x:c>
      <x:c r="B10" s="36" t="str">
        <x:v>9</x:v>
      </x:c>
      <x:c r="C10" s="36" t="str">
        <x:v>Prompt Template and Structured Output Validation</x:v>
      </x:c>
      <x:c r="D10" s="36" t="str">
        <x:v>Create a reusable prompt that returns validated structured output.</x:v>
      </x:c>
      <x:c r="E10" s="36" t="str">
        <x:v>1. Define task and schema. 2. Separate instructions and untrusted data. 3. Add variables, delimiters, and failure behavior. 4. Create normal, missing, malformed, and adversarial cases. 5. Validate and iterate without regression.</x:v>
      </x:c>
      <x:c r="F10" s="36" t="str">
        <x:v>Versioned prompt, schema, validation logic, test set, and before/after results.</x:v>
      </x:c>
      <x:c r="G10" s="36" t="str">
        <x:v>3 points each: clear template; safe data boundaries; schema and validation; representative tests; measured improvement.</x:v>
      </x:c>
      <x:c r="H10" s="36" t="n">
        <x:v>15</x:v>
      </x:c>
      <x:c r="I10" s="36" t="n">
        <x:v>10.5</x:v>
      </x:c>
      <x:c r="J10" s="63" t="str">
        <x:v>Not Started</x:v>
      </x:c>
      <x:c r="K10" s="63" t="str"/>
      <x:c r="L10" s="63" t="str"/>
      <x:c r="M10" s="36" t="str">
        <x:f>IF(L10="","Not scored",IF(L10&gt;=I10,"Pass","Gap"))</x:f>
        <x:v>Not scored</x:v>
      </x:c>
      <x:c r="N10" s="67" t="str"/>
    </x:row>
    <x:row r="11" ht="105" customHeight="1">
      <x:c r="A11" s="38" t="str">
        <x:v>P06</x:v>
      </x:c>
      <x:c r="B11" s="39" t="str">
        <x:v>10</x:v>
      </x:c>
      <x:c r="C11" s="39" t="str">
        <x:v>Golden Dataset and Release Evaluation</x:v>
      </x:c>
      <x:c r="D11" s="39" t="str">
        <x:v>Evaluate two prompt/model variants and make a defensible release decision.</x:v>
      </x:c>
      <x:c r="E11" s="39" t="str">
        <x:v>1. Define acceptance criteria. 2. Build at least 15 representative cases including edge/failure cases. 3. Define automatic and/or human scoring. 4. Compare two variants. 5. Analyze errors. 6. Recommend release, rejection, or further work.</x:v>
      </x:c>
      <x:c r="F11" s="39" t="str">
        <x:v>Versioned dataset, rubric/metrics, scores, error analysis, and release decision report.</x:v>
      </x:c>
      <x:c r="G11" s="39" t="str">
        <x:v>3 points each: coverage; scoring quality; repeatability; error analysis; evidence-based decision.</x:v>
      </x:c>
      <x:c r="H11" s="39" t="n">
        <x:v>15</x:v>
      </x:c>
      <x:c r="I11" s="39" t="n">
        <x:v>10.5</x:v>
      </x:c>
      <x:c r="J11" s="72" t="str">
        <x:v>Not Started</x:v>
      </x:c>
      <x:c r="K11" s="72" t="str"/>
      <x:c r="L11" s="72" t="str"/>
      <x:c r="M11" s="39" t="str">
        <x:f>IF(L11="","Not scored",IF(L11&gt;=I11,"Pass","Gap"))</x:f>
        <x:v>Not scored</x:v>
      </x:c>
      <x:c r="N11" s="68" t="str"/>
    </x:row>
  </x:sheetData>
  <x:mergeCells>
    <x:mergeCell ref="A1:N1"/>
    <x:mergeCell ref="A2:N3"/>
  </x:mergeCells>
  <x:conditionalFormatting sqref="M6:M11">
    <x:cfRule type="expression" dxfId="6" priority="1">
      <x:formula>M6="Pass"</x:formula>
    </x:cfRule>
    <x:cfRule type="expression" dxfId="7" priority="2">
      <x:formula>M6="Gap"</x:formula>
    </x:cfRule>
  </x:conditionalFormatting>
  <x:dataValidations count="2">
    <x:dataValidation type="list" sqref="J6:J11">
      <x:formula1>"Not Started,In Progress,Submitted,Reviewed"</x:formula1>
    </x:dataValidation>
    <x:dataValidation type="list" sqref="L6:L11">
      <x:formula1>"0,1,2,3,4,5,6,7,8,9,10,10.5,11,12,13,14,15,16,17,18,19,20"</x:formula1>
    </x:dataValidation>
  </x:dataValidations>
  <x:pageMargins left="0.7" right="0.7" top="0.75" bottom="0.75" header="0.3" footer="0.3"/>
  <x:tableParts count="1">
    <x:tablePart xmlns:r="http://schemas.openxmlformats.org/officeDocument/2006/relationships" r:id="Rf73c066b08b44960"/>
  </x:tableParts>
</x:worksheet>
</file>

<file path=xl/worksheets/sheet6.xml><?xml version="1.0" encoding="utf-8"?>
<x:worksheet xmlns:x="http://schemas.openxmlformats.org/spreadsheetml/2006/main">
  <x:sheetFormatPr defaultRowHeight="15"/>
  <x:cols>
    <x:col min="1" max="1" width="11" hidden="0" customWidth="1"/>
    <x:col min="2" max="2" width="8" hidden="0" customWidth="1"/>
    <x:col min="3" max="3" width="40" hidden="0" customWidth="1"/>
    <x:col min="4" max="4" width="20" hidden="0" customWidth="1"/>
    <x:col min="5" max="5" width="62" hidden="0" customWidth="1"/>
    <x:col min="6" max="6" width="60" hidden="0" customWidth="1"/>
    <x:col min="7" max="7" width="40" hidden="0" customWidth="1"/>
    <x:col min="8" max="8" width="11" hidden="0" customWidth="1"/>
    <x:col min="9" max="9" width="11" hidden="0" customWidth="1"/>
    <x:col min="10" max="10" width="13" hidden="0" customWidth="1"/>
    <x:col min="11" max="11" width="11" hidden="0" customWidth="1"/>
    <x:col min="12" max="12" width="10" hidden="0" customWidth="1"/>
    <x:col min="13" max="13" width="13" hidden="0" customWidth="1"/>
    <x:col min="14" max="14" width="14" hidden="0" customWidth="1"/>
    <x:col min="15" max="15" width="24" hidden="0" customWidth="1"/>
    <x:col min="16" max="16" width="50" hidden="0" customWidth="1"/>
    <x:col min="17" max="17" width="45" hidden="0" customWidth="1"/>
    <x:col min="18" max="18" width="12" hidden="0" customWidth="1"/>
  </x:cols>
  <x:sheetData>
    <x:row r="1" ht="30" customHeight="1">
      <x:c r="A1" s="5" t="str">
        <x:v>Layer 0 Exit Assessment — Progression Gate</x:v>
      </x:c>
      <x:c r="B1" s="5"/>
      <x:c r="C1" s="5"/>
      <x:c r="D1" s="5"/>
      <x:c r="E1" s="5"/>
      <x:c r="F1" s="5"/>
      <x:c r="G1" s="5"/>
      <x:c r="H1" s="5"/>
      <x:c r="I1" s="5"/>
      <x:c r="J1" s="5"/>
      <x:c r="K1" s="5"/>
      <x:c r="L1" s="5"/>
      <x:c r="M1" s="5"/>
      <x:c r="N1" s="5"/>
      <x:c r="O1" s="5"/>
      <x:c r="P1" s="5"/>
      <x:c r="Q1" s="5"/>
      <x:c r="R1" s="5"/>
    </x:row>
    <x:row r="2" ht="40" customHeight="1">
      <x:c r="A2" s="13" t="str">
        <x:v>The assessment is 100 points: each of the ten topics contributes two automatically scored multiple-choice items (4 points) and one assessor-scored task (6 points). Passing requires at least 80% overall, at least 70% for every topic, and a passing score on every constructed task.</x:v>
      </x:c>
      <x:c r="B2" s="13"/>
      <x:c r="C2" s="13"/>
      <x:c r="D2" s="13"/>
      <x:c r="E2" s="13"/>
      <x:c r="F2" s="13"/>
      <x:c r="G2" s="13"/>
      <x:c r="H2" s="13"/>
      <x:c r="I2" s="13"/>
      <x:c r="J2" s="13"/>
      <x:c r="K2" s="13"/>
      <x:c r="L2" s="13"/>
      <x:c r="M2" s="13"/>
      <x:c r="N2" s="13"/>
      <x:c r="O2" s="13"/>
      <x:c r="P2" s="13"/>
      <x:c r="Q2" s="13"/>
      <x:c r="R2" s="13"/>
    </x:row>
    <x:row r="3" ht="40" customHeight="1">
      <x:c r="A3" s="13"/>
      <x:c r="B3" s="13"/>
      <x:c r="C3" s="13"/>
      <x:c r="D3" s="13"/>
      <x:c r="E3" s="13"/>
      <x:c r="F3" s="13"/>
      <x:c r="G3" s="13"/>
      <x:c r="H3" s="13"/>
      <x:c r="I3" s="13"/>
      <x:c r="J3" s="13"/>
      <x:c r="K3" s="13"/>
      <x:c r="L3" s="13"/>
      <x:c r="M3" s="13"/>
      <x:c r="N3" s="13"/>
      <x:c r="O3" s="13"/>
      <x:c r="P3" s="13"/>
      <x:c r="Q3" s="13"/>
      <x:c r="R3" s="13"/>
    </x:row>
    <x:row r="5">
      <x:c r="A5" s="22" t="str">
        <x:v>Item ID</x:v>
      </x:c>
      <x:c r="B5" s="22" t="str">
        <x:v>Topic</x:v>
      </x:c>
      <x:c r="C5" s="22" t="str">
        <x:v>Topic Name</x:v>
      </x:c>
      <x:c r="D5" s="22" t="str">
        <x:v>Question Type</x:v>
      </x:c>
      <x:c r="E5" s="22" t="str">
        <x:v>Question</x:v>
      </x:c>
      <x:c r="F5" s="22" t="str">
        <x:v>Options / Expected Format</x:v>
      </x:c>
      <x:c r="G5" s="22" t="str">
        <x:v>Learner Response</x:v>
      </x:c>
      <x:c r="H5" s="22" t="str">
        <x:v>Confidence</x:v>
      </x:c>
      <x:c r="I5" s="22" t="str">
        <x:v>Auto Score</x:v>
      </x:c>
      <x:c r="J5" s="22" t="str">
        <x:v>Assessor Score</x:v>
      </x:c>
      <x:c r="K5" s="22" t="str">
        <x:v>Final Score</x:v>
      </x:c>
      <x:c r="L5" s="22" t="str">
        <x:v>Max Score</x:v>
      </x:c>
      <x:c r="M5" s="22" t="str">
        <x:v>Pass Threshold</x:v>
      </x:c>
      <x:c r="N5" s="22" t="str">
        <x:v>Item Result</x:v>
      </x:c>
      <x:c r="O5" s="22" t="str">
        <x:v>Gap Type</x:v>
      </x:c>
      <x:c r="P5" s="22" t="str">
        <x:v>Remediation</x:v>
      </x:c>
      <x:c r="Q5" s="22" t="str">
        <x:v>Evidence / Feedback</x:v>
      </x:c>
      <x:c r="R5" s="22" t="str">
        <x:v>Topic Score Helper</x:v>
      </x:c>
    </x:row>
    <x:row r="6" ht="86" customHeight="1">
      <x:c r="A6" s="32" t="str">
        <x:v>E01A</x:v>
      </x:c>
      <x:c r="B6" s="33" t="n">
        <x:v>1</x:v>
      </x:c>
      <x:c r="C6" s="33" t="str">
        <x:v>Foundation models and GenAI fundamentals</x:v>
      </x:c>
      <x:c r="D6" s="33" t="str">
        <x:v>Multiple Choice</x:v>
      </x:c>
      <x:c r="E6" s="33" t="str">
        <x:v>Which activity changes a model's learned parameters?</x:v>
      </x:c>
      <x:c r="F6" s="33" t="str">
        <x:v>A. Standard inference
B. Adding retrieved context to a prompt
C. Fine-tuning or other parameter customization
D. Calling ConverseStream</x:v>
      </x:c>
      <x:c r="G6" s="62"/>
      <x:c r="H6" s="62"/>
      <x:c r="I6" s="33" t="str">
        <x:f>IF(D6="Multiple Choice",IF(G6="","",IF(UPPER(TRIM(G6))=VLOOKUP(A6,'Answer Key &amp; Rubrics'!$B$6:$J$59,5,FALSE),L6,0)),"")</x:f>
      </x:c>
      <x:c r="J6" s="62" t="str"/>
      <x:c r="K6" s="33" t="str">
        <x:f>IF(D6="Multiple Choice",I6,IF(J6="","",MIN(J6,L6)))</x:f>
      </x:c>
      <x:c r="L6" s="33" t="n">
        <x:v>2</x:v>
      </x:c>
      <x:c r="M6" s="33" t="n">
        <x:v>2</x:v>
      </x:c>
      <x:c r="N6" s="33" t="str">
        <x:f>IF(D6="Multiple Choice",IF(G6="","Not scored",IF(K6&gt;=M6,"Pass","Gap")),IF(J6="","Not scored",IF(K6&gt;=M6,"Pass","Gap")))</x:f>
        <x:v>Not scored</x:v>
      </x:c>
      <x:c r="O6" s="33" t="str">
        <x:v>Conceptual</x:v>
      </x:c>
      <x:c r="P6" s="33" t="str">
        <x:v>Review which techniques change weights, context, orchestration, or evaluation only.</x:v>
      </x:c>
      <x:c r="Q6" s="62" t="str"/>
      <x:c r="R6" s="34" t="n">
        <x:v>1</x:v>
      </x:c>
    </x:row>
    <x:row r="7" ht="86" customHeight="1">
      <x:c r="A7" s="35" t="str">
        <x:v>E01B</x:v>
      </x:c>
      <x:c r="B7" s="36" t="n">
        <x:v>1</x:v>
      </x:c>
      <x:c r="C7" s="36" t="str">
        <x:v>Foundation models and GenAI fundamentals</x:v>
      </x:c>
      <x:c r="D7" s="36" t="str">
        <x:v>Multiple Choice</x:v>
      </x:c>
      <x:c r="E7" s="36" t="str">
        <x:v>Why can the same foundation model support multiple downstream tasks?</x:v>
      </x:c>
      <x:c r="F7" s="36" t="str">
        <x:v>A. It was broadly trained and can be guided or adapted for different tasks
B. It contains a separate hard-coded program for every business
C. It has unrestricted IAM permissions
D. It always uses RAG</x:v>
      </x:c>
      <x:c r="G7" s="63" t="str"/>
      <x:c r="H7" s="63" t="str"/>
      <x:c r="I7" s="36" t="str">
        <x:f>IF(D7="Multiple Choice",IF(G7="","",IF(UPPER(TRIM(G7))=VLOOKUP(A7,'Answer Key &amp; Rubrics'!$B$6:$J$59,5,FALSE),L7,0)),"")</x:f>
      </x:c>
      <x:c r="J7" s="63" t="str"/>
      <x:c r="K7" s="36" t="str">
        <x:f>IF(D7="Multiple Choice",I7,IF(J7="","",MIN(J7,L7)))</x:f>
      </x:c>
      <x:c r="L7" s="36" t="n">
        <x:v>2</x:v>
      </x:c>
      <x:c r="M7" s="36" t="n">
        <x:v>2</x:v>
      </x:c>
      <x:c r="N7" s="36" t="str">
        <x:f>IF(D7="Multiple Choice",IF(G7="","Not scored",IF(K7&gt;=M7,"Pass","Gap")),IF(J7="","Not scored",IF(K7&gt;=M7,"Pass","Gap")))</x:f>
        <x:v>Not scored</x:v>
      </x:c>
      <x:c r="O7" s="36" t="str">
        <x:v>Conceptual</x:v>
      </x:c>
      <x:c r="P7" s="36" t="str">
        <x:v>Compare foundation models with narrow task-specific models.</x:v>
      </x:c>
      <x:c r="Q7" s="63" t="str"/>
      <x:c r="R7" s="37" t="n">
        <x:v>1</x:v>
      </x:c>
    </x:row>
    <x:row r="8" ht="86" customHeight="1">
      <x:c r="A8" s="35" t="str">
        <x:v>E01C</x:v>
      </x:c>
      <x:c r="B8" s="36" t="n">
        <x:v>1</x:v>
      </x:c>
      <x:c r="C8" s="36" t="str">
        <x:v>Foundation models and GenAI fundamentals</x:v>
      </x:c>
      <x:c r="D8" s="36" t="str">
        <x:v>Constructed Response</x:v>
      </x:c>
      <x:c r="E8" s="36" t="str">
        <x:v>A stakeholder says, 'We will upload our documents and train the model every night.' Correct the statement by distinguishing inference, prompting, RAG, fine-tuning, and continued pre-training, including when each is appropriate.</x:v>
      </x:c>
      <x:c r="F8" s="36" t="str">
        <x:v>Write a concise advisory response.</x:v>
      </x:c>
      <x:c r="G8" s="63" t="str"/>
      <x:c r="H8" s="63" t="str"/>
      <x:c r="I8" s="36" t="str">
        <x:f>IF(D8="Multiple Choice",IF(G8="","",IF(UPPER(TRIM(G8))=VLOOKUP(A8,'Answer Key &amp; Rubrics'!$B$6:$J$59,5,FALSE),L8,0)),"")</x:f>
      </x:c>
      <x:c r="J8" s="63" t="str"/>
      <x:c r="K8" s="36" t="str">
        <x:f>IF(D8="Multiple Choice",I8,IF(J8="","",MIN(J8,L8)))</x:f>
      </x:c>
      <x:c r="L8" s="36" t="n">
        <x:v>6</x:v>
      </x:c>
      <x:c r="M8" s="36" t="n">
        <x:v>4</x:v>
      </x:c>
      <x:c r="N8" s="36" t="str">
        <x:f>IF(D8="Multiple Choice",IF(G8="","Not scored",IF(K8&gt;=M8,"Pass","Gap")),IF(J8="","Not scored",IF(K8&gt;=M8,"Pass","Gap")))</x:f>
        <x:v>Not scored</x:v>
      </x:c>
      <x:c r="O8" s="36" t="str">
        <x:v>Conditional / Strategic</x:v>
      </x:c>
      <x:c r="P8" s="36" t="str">
        <x:v>Classify ten solution requests into prompting, RAG, fine-tuning, or deeper training.</x:v>
      </x:c>
      <x:c r="Q8" s="63" t="str"/>
      <x:c r="R8" s="37" t="n">
        <x:v>1</x:v>
      </x:c>
    </x:row>
    <x:row r="9" ht="86" customHeight="1">
      <x:c r="A9" s="35" t="str">
        <x:v>E02A</x:v>
      </x:c>
      <x:c r="B9" s="36" t="n">
        <x:v>2</x:v>
      </x:c>
      <x:c r="C9" s="36" t="str">
        <x:v>Tokens, context windows, inference, temperature, top-k, and top-p</x:v>
      </x:c>
      <x:c r="D9" s="36" t="str">
        <x:v>Multiple Choice</x:v>
      </x:c>
      <x:c r="E9" s="36" t="str">
        <x:v>Which content consumes context-window capacity?</x:v>
      </x:c>
      <x:c r="F9" s="36" t="str">
        <x:v>A. System instructions, conversation, retrieved context, user input, and generated output
B. Only the final answer
C. Only the system prompt
D. IAM policies only</x:v>
      </x:c>
      <x:c r="G9" s="63" t="str"/>
      <x:c r="H9" s="63" t="str"/>
      <x:c r="I9" s="36" t="str">
        <x:f>IF(D9="Multiple Choice",IF(G9="","",IF(UPPER(TRIM(G9))=VLOOKUP(A9,'Answer Key &amp; Rubrics'!$B$6:$J$59,5,FALSE),L9,0)),"")</x:f>
      </x:c>
      <x:c r="J9" s="63" t="str"/>
      <x:c r="K9" s="36" t="str">
        <x:f>IF(D9="Multiple Choice",I9,IF(J9="","",MIN(J9,L9)))</x:f>
      </x:c>
      <x:c r="L9" s="36" t="n">
        <x:v>2</x:v>
      </x:c>
      <x:c r="M9" s="36" t="n">
        <x:v>2</x:v>
      </x:c>
      <x:c r="N9" s="36" t="str">
        <x:f>IF(D9="Multiple Choice",IF(G9="","Not scored",IF(K9&gt;=M9,"Pass","Gap")),IF(J9="","Not scored",IF(K9&gt;=M9,"Pass","Gap")))</x:f>
        <x:v>Not scored</x:v>
      </x:c>
      <x:c r="O9" s="36" t="str">
        <x:v>Declarative</x:v>
      </x:c>
      <x:c r="P9" s="36" t="str">
        <x:v>Create a token budget for a realistic request.</x:v>
      </x:c>
      <x:c r="Q9" s="63" t="str"/>
      <x:c r="R9" s="37" t="n">
        <x:v>2</x:v>
      </x:c>
    </x:row>
    <x:row r="10" ht="86" customHeight="1">
      <x:c r="A10" s="35" t="str">
        <x:v>E02B</x:v>
      </x:c>
      <x:c r="B10" s="36" t="n">
        <x:v>2</x:v>
      </x:c>
      <x:c r="C10" s="36" t="str">
        <x:v>Tokens, context windows, inference, temperature, top-k, and top-p</x:v>
      </x:c>
      <x:c r="D10" s="36" t="str">
        <x:v>Multiple Choice</x:v>
      </x:c>
      <x:c r="E10" s="36" t="str">
        <x:v>For a classification task requiring consistent labels, which starting configuration is usually more defensible?</x:v>
      </x:c>
      <x:c r="F10" s="36" t="str">
        <x:v>A. High randomness and no output constraints
B. Lower randomness, a strict label schema, and validation
C. Maximum output length with free-form prose
D. No testing</x:v>
      </x:c>
      <x:c r="G10" s="63" t="str"/>
      <x:c r="H10" s="63" t="str"/>
      <x:c r="I10" s="36" t="str">
        <x:f>IF(D10="Multiple Choice",IF(G10="","",IF(UPPER(TRIM(G10))=VLOOKUP(A10,'Answer Key &amp; Rubrics'!$B$6:$J$59,5,FALSE),L10,0)),"")</x:f>
      </x:c>
      <x:c r="J10" s="63" t="str"/>
      <x:c r="K10" s="36" t="str">
        <x:f>IF(D10="Multiple Choice",I10,IF(J10="","",MIN(J10,L10)))</x:f>
      </x:c>
      <x:c r="L10" s="36" t="n">
        <x:v>2</x:v>
      </x:c>
      <x:c r="M10" s="36" t="n">
        <x:v>2</x:v>
      </x:c>
      <x:c r="N10" s="36" t="str">
        <x:f>IF(D10="Multiple Choice",IF(G10="","Not scored",IF(K10&gt;=M10,"Pass","Gap")),IF(J10="","Not scored",IF(K10&gt;=M10,"Pass","Gap")))</x:f>
        <x:v>Not scored</x:v>
      </x:c>
      <x:c r="O10" s="36" t="str">
        <x:v>Conditional</x:v>
      </x:c>
      <x:c r="P10" s="36" t="str">
        <x:v>Experiment with sampling settings and structured labels.</x:v>
      </x:c>
      <x:c r="Q10" s="63" t="str"/>
      <x:c r="R10" s="37" t="n">
        <x:v>2</x:v>
      </x:c>
    </x:row>
    <x:row r="11" ht="86" customHeight="1">
      <x:c r="A11" s="35" t="str">
        <x:v>E02C</x:v>
      </x:c>
      <x:c r="B11" s="36" t="n">
        <x:v>2</x:v>
      </x:c>
      <x:c r="C11" s="36" t="str">
        <x:v>Tokens, context windows, inference, temperature, top-k, and top-p</x:v>
      </x:c>
      <x:c r="D11" s="36" t="str">
        <x:v>Constructed Response</x:v>
      </x:c>
      <x:c r="E11" s="36" t="str">
        <x:v>A RAG request exceeds the context window and sometimes truncates the answer. Diagnose the token budget and propose changes without simply selecting a larger model.</x:v>
      </x:c>
      <x:c r="F11" s="36" t="str">
        <x:v>Address instructions, history, retrieval, chunking, output length, and measurement.</x:v>
      </x:c>
      <x:c r="G11" s="63" t="str"/>
      <x:c r="H11" s="63" t="str"/>
      <x:c r="I11" s="36" t="str">
        <x:f>IF(D11="Multiple Choice",IF(G11="","",IF(UPPER(TRIM(G11))=VLOOKUP(A11,'Answer Key &amp; Rubrics'!$B$6:$J$59,5,FALSE),L11,0)),"")</x:f>
      </x:c>
      <x:c r="J11" s="63" t="str"/>
      <x:c r="K11" s="36" t="str">
        <x:f>IF(D11="Multiple Choice",I11,IF(J11="","",MIN(J11,L11)))</x:f>
      </x:c>
      <x:c r="L11" s="36" t="n">
        <x:v>6</x:v>
      </x:c>
      <x:c r="M11" s="36" t="n">
        <x:v>4</x:v>
      </x:c>
      <x:c r="N11" s="36" t="str">
        <x:f>IF(D11="Multiple Choice",IF(G11="","Not scored",IF(K11&gt;=M11,"Pass","Gap")),IF(J11="","Not scored",IF(K11&gt;=M11,"Pass","Gap")))</x:f>
        <x:v>Not scored</x:v>
      </x:c>
      <x:c r="O11" s="36" t="str">
        <x:v>Causal / Diagnostic</x:v>
      </x:c>
      <x:c r="P11" s="36" t="str">
        <x:v>Perform a context-overflow lab with a token waterfall.</x:v>
      </x:c>
      <x:c r="Q11" s="63" t="str"/>
      <x:c r="R11" s="37" t="n">
        <x:v>2</x:v>
      </x:c>
    </x:row>
    <x:row r="12" ht="86" customHeight="1">
      <x:c r="A12" s="35" t="str">
        <x:v>E03A</x:v>
      </x:c>
      <x:c r="B12" s="36" t="n">
        <x:v>3</x:v>
      </x:c>
      <x:c r="C12" s="36" t="str">
        <x:v>AWS GenAI service landscape: Bedrock, SageMaker AI, Lambda, API Gateway, Step Functions, SQS, EventBridge, S3, DynamoDB, OpenSearch, CloudWatch, X-Ray, IAM</x:v>
      </x:c>
      <x:c r="D12" s="36" t="str">
        <x:v>Multiple Choice</x:v>
      </x:c>
      <x:c r="E12" s="36" t="str">
        <x:v>Which AWS service is most directly responsible for exposing a managed HTTP API to an application client?</x:v>
      </x:c>
      <x:c r="F12" s="36" t="str">
        <x:v>A. Amazon API Gateway
B. Amazon EBS
C. AWS Artifact
D. AWS Backup</x:v>
      </x:c>
      <x:c r="G12" s="63" t="str"/>
      <x:c r="H12" s="63" t="str"/>
      <x:c r="I12" s="36" t="str">
        <x:f>IF(D12="Multiple Choice",IF(G12="","",IF(UPPER(TRIM(G12))=VLOOKUP(A12,'Answer Key &amp; Rubrics'!$B$6:$J$59,5,FALSE),L12,0)),"")</x:f>
      </x:c>
      <x:c r="J12" s="63" t="str"/>
      <x:c r="K12" s="36" t="str">
        <x:f>IF(D12="Multiple Choice",I12,IF(J12="","",MIN(J12,L12)))</x:f>
      </x:c>
      <x:c r="L12" s="36" t="n">
        <x:v>2</x:v>
      </x:c>
      <x:c r="M12" s="36" t="n">
        <x:v>2</x:v>
      </x:c>
      <x:c r="N12" s="36" t="str">
        <x:f>IF(D12="Multiple Choice",IF(G12="","Not scored",IF(K12&gt;=M12,"Pass","Gap")),IF(J12="","Not scored",IF(K12&gt;=M12,"Pass","Gap")))</x:f>
        <x:v>Not scored</x:v>
      </x:c>
      <x:c r="O12" s="36" t="str">
        <x:v>Declarative / Embedded</x:v>
      </x:c>
      <x:c r="P12" s="36" t="str">
        <x:v>Rebuild the Layer 0 service map by request flow.</x:v>
      </x:c>
      <x:c r="Q12" s="63" t="str"/>
      <x:c r="R12" s="37" t="n">
        <x:v>3</x:v>
      </x:c>
    </x:row>
    <x:row r="13" ht="86" customHeight="1">
      <x:c r="A13" s="35" t="str">
        <x:v>E03B</x:v>
      </x:c>
      <x:c r="B13" s="36" t="n">
        <x:v>3</x:v>
      </x:c>
      <x:c r="C13" s="36" t="str">
        <x:v>AWS GenAI service landscape: Bedrock, SageMaker AI, Lambda, API Gateway, Step Functions, SQS, EventBridge, S3, DynamoDB, OpenSearch, CloudWatch, X-Ray, IAM</x:v>
      </x:c>
      <x:c r="D13" s="36" t="str">
        <x:v>Multiple Choice</x:v>
      </x:c>
      <x:c r="E13" s="36" t="str">
        <x:v>Which combination best supports tracing a request across an API and Lambda-based GenAI application?</x:v>
      </x:c>
      <x:c r="F13" s="36" t="str">
        <x:v>A. Amazon CloudWatch and AWS X-Ray
B. Amazon Route 53 and AWS Snowball
C. AWS WAF only
D. AWS Cost Explorer only</x:v>
      </x:c>
      <x:c r="G13" s="63" t="str"/>
      <x:c r="H13" s="63" t="str"/>
      <x:c r="I13" s="36" t="str">
        <x:f>IF(D13="Multiple Choice",IF(G13="","",IF(UPPER(TRIM(G13))=VLOOKUP(A13,'Answer Key &amp; Rubrics'!$B$6:$J$59,5,FALSE),L13,0)),"")</x:f>
      </x:c>
      <x:c r="J13" s="63" t="str"/>
      <x:c r="K13" s="36" t="str">
        <x:f>IF(D13="Multiple Choice",I13,IF(J13="","",MIN(J13,L13)))</x:f>
      </x:c>
      <x:c r="L13" s="36" t="n">
        <x:v>2</x:v>
      </x:c>
      <x:c r="M13" s="36" t="n">
        <x:v>2</x:v>
      </x:c>
      <x:c r="N13" s="36" t="str">
        <x:f>IF(D13="Multiple Choice",IF(G13="","Not scored",IF(K13&gt;=M13,"Pass","Gap")),IF(J13="","Not scored",IF(K13&gt;=M13,"Pass","Gap")))</x:f>
        <x:v>Not scored</x:v>
      </x:c>
      <x:c r="O13" s="36" t="str">
        <x:v>Embedded</x:v>
      </x:c>
      <x:c r="P13" s="36" t="str">
        <x:v>Instrument a simple request path and follow its trace.</x:v>
      </x:c>
      <x:c r="Q13" s="63" t="str"/>
      <x:c r="R13" s="37" t="n">
        <x:v>3</x:v>
      </x:c>
    </x:row>
    <x:row r="14" ht="86" customHeight="1">
      <x:c r="A14" s="35" t="str">
        <x:v>E03C</x:v>
      </x:c>
      <x:c r="B14" s="36" t="n">
        <x:v>3</x:v>
      </x:c>
      <x:c r="C14" s="36" t="str">
        <x:v>AWS GenAI service landscape: Bedrock, SageMaker AI, Lambda, API Gateway, Step Functions, SQS, EventBridge, S3, DynamoDB, OpenSearch, CloudWatch, X-Ray, IAM</x:v>
      </x:c>
      <x:c r="D14" s="36" t="str">
        <x:v>Constructed Response</x:v>
      </x:c>
      <x:c r="E14" s="36" t="str">
        <x:v>Given a web client, API, orchestration, model invocation, document store, vector retrieval, session state, and observability requirements, select appropriate AWS services and explain boundaries between them.</x:v>
      </x:c>
      <x:c r="F14" s="36" t="str">
        <x:v>Provide a component table or diagram; alternatives are acceptable when justified.</x:v>
      </x:c>
      <x:c r="G14" s="63" t="str"/>
      <x:c r="H14" s="63" t="str"/>
      <x:c r="I14" s="36" t="str">
        <x:f>IF(D14="Multiple Choice",IF(G14="","",IF(UPPER(TRIM(G14))=VLOOKUP(A14,'Answer Key &amp; Rubrics'!$B$6:$J$59,5,FALSE),L14,0)),"")</x:f>
      </x:c>
      <x:c r="J14" s="63" t="str"/>
      <x:c r="K14" s="36" t="str">
        <x:f>IF(D14="Multiple Choice",I14,IF(J14="","",MIN(J14,L14)))</x:f>
      </x:c>
      <x:c r="L14" s="36" t="n">
        <x:v>6</x:v>
      </x:c>
      <x:c r="M14" s="36" t="n">
        <x:v>4</x:v>
      </x:c>
      <x:c r="N14" s="36" t="str">
        <x:f>IF(D14="Multiple Choice",IF(G14="","Not scored",IF(K14&gt;=M14,"Pass","Gap")),IF(J14="","Not scored",IF(K14&gt;=M14,"Pass","Gap")))</x:f>
        <x:v>Not scored</x:v>
      </x:c>
      <x:c r="O14" s="36" t="str">
        <x:v>Conceptual / Embedded</x:v>
      </x:c>
      <x:c r="P14" s="36" t="str">
        <x:v>Repeat the service-selection case with a serverless and a containerized alternative.</x:v>
      </x:c>
      <x:c r="Q14" s="63" t="str"/>
      <x:c r="R14" s="37" t="n">
        <x:v>3</x:v>
      </x:c>
    </x:row>
    <x:row r="15" ht="86" customHeight="1">
      <x:c r="A15" s="35" t="str">
        <x:v>E04A</x:v>
      </x:c>
      <x:c r="B15" s="36" t="n">
        <x:v>4</x:v>
      </x:c>
      <x:c r="C15" s="36" t="str">
        <x:v>API, event-driven, serverless, container, and workflow fundamentals</x:v>
      </x:c>
      <x:c r="D15" s="36" t="str">
        <x:v>Multiple Choice</x:v>
      </x:c>
      <x:c r="E15" s="36" t="str">
        <x:v>Which pattern is most suitable for incremental token delivery to an interactive user?</x:v>
      </x:c>
      <x:c r="F15" s="36" t="str">
        <x:v>A. Streaming response
B. Nightly batch job
C. S3 lifecycle policy
D. IAM permission boundary</x:v>
      </x:c>
      <x:c r="G15" s="63" t="str"/>
      <x:c r="H15" s="63" t="str"/>
      <x:c r="I15" s="36" t="str">
        <x:f>IF(D15="Multiple Choice",IF(G15="","",IF(UPPER(TRIM(G15))=VLOOKUP(A15,'Answer Key &amp; Rubrics'!$B$6:$J$59,5,FALSE),L15,0)),"")</x:f>
      </x:c>
      <x:c r="J15" s="63" t="str"/>
      <x:c r="K15" s="36" t="str">
        <x:f>IF(D15="Multiple Choice",I15,IF(J15="","",MIN(J15,L15)))</x:f>
      </x:c>
      <x:c r="L15" s="36" t="n">
        <x:v>2</x:v>
      </x:c>
      <x:c r="M15" s="36" t="n">
        <x:v>2</x:v>
      </x:c>
      <x:c r="N15" s="36" t="str">
        <x:f>IF(D15="Multiple Choice",IF(G15="","Not scored",IF(K15&gt;=M15,"Pass","Gap")),IF(J15="","Not scored",IF(K15&gt;=M15,"Pass","Gap")))</x:f>
        <x:v>Not scored</x:v>
      </x:c>
      <x:c r="O15" s="36" t="str">
        <x:v>Conditional</x:v>
      </x:c>
      <x:c r="P15" s="36" t="str">
        <x:v>Compare time-to-first-token and full response time.</x:v>
      </x:c>
      <x:c r="Q15" s="63" t="str"/>
      <x:c r="R15" s="37" t="n">
        <x:v>4</x:v>
      </x:c>
    </x:row>
    <x:row r="16" ht="86" customHeight="1">
      <x:c r="A16" s="35" t="str">
        <x:v>E04B</x:v>
      </x:c>
      <x:c r="B16" s="36" t="n">
        <x:v>4</x:v>
      </x:c>
      <x:c r="C16" s="36" t="str">
        <x:v>API, event-driven, serverless, container, and workflow fundamentals</x:v>
      </x:c>
      <x:c r="D16" s="36" t="str">
        <x:v>Multiple Choice</x:v>
      </x:c>
      <x:c r="E16" s="36" t="str">
        <x:v>When is Step Functions more appropriate than a single Lambda invocation?</x:v>
      </x:c>
      <x:c r="F16" s="36" t="str">
        <x:v>A. A multi-step process needs state, branching, retries, timeouts, or human approval
B. A single constant string is returned
C. No workflow exists
D. The model temperature is low</x:v>
      </x:c>
      <x:c r="G16" s="63" t="str"/>
      <x:c r="H16" s="63" t="str"/>
      <x:c r="I16" s="36" t="str">
        <x:f>IF(D16="Multiple Choice",IF(G16="","",IF(UPPER(TRIM(G16))=VLOOKUP(A16,'Answer Key &amp; Rubrics'!$B$6:$J$59,5,FALSE),L16,0)),"")</x:f>
      </x:c>
      <x:c r="J16" s="63" t="str"/>
      <x:c r="K16" s="36" t="str">
        <x:f>IF(D16="Multiple Choice",I16,IF(J16="","",MIN(J16,L16)))</x:f>
      </x:c>
      <x:c r="L16" s="36" t="n">
        <x:v>2</x:v>
      </x:c>
      <x:c r="M16" s="36" t="n">
        <x:v>2</x:v>
      </x:c>
      <x:c r="N16" s="36" t="str">
        <x:f>IF(D16="Multiple Choice",IF(G16="","Not scored",IF(K16&gt;=M16,"Pass","Gap")),IF(J16="","Not scored",IF(K16&gt;=M16,"Pass","Gap")))</x:f>
        <x:v>Not scored</x:v>
      </x:c>
      <x:c r="O16" s="36" t="str">
        <x:v>Conditional / Embedded</x:v>
      </x:c>
      <x:c r="P16" s="36" t="str">
        <x:v>Model a multi-step GenAI workflow with branches and retry policies.</x:v>
      </x:c>
      <x:c r="Q16" s="63" t="str"/>
      <x:c r="R16" s="37" t="n">
        <x:v>4</x:v>
      </x:c>
    </x:row>
    <x:row r="17" ht="86" customHeight="1">
      <x:c r="A17" s="35" t="str">
        <x:v>E04C</x:v>
      </x:c>
      <x:c r="B17" s="36" t="n">
        <x:v>4</x:v>
      </x:c>
      <x:c r="C17" s="36" t="str">
        <x:v>API, event-driven, serverless, container, and workflow fundamentals</x:v>
      </x:c>
      <x:c r="D17" s="36" t="str">
        <x:v>Constructed Response</x:v>
      </x:c>
      <x:c r="E17" s="36" t="str">
        <x:v>Design the interaction pattern for a document-analysis job that takes several minutes, must report progress, and must survive worker failure. Explain why a purely synchronous design is inferior.</x:v>
      </x:c>
      <x:c r="F17" s="36" t="str">
        <x:v>Include API behavior, queue/workflow, state, idempotency, notification, and recovery.</x:v>
      </x:c>
      <x:c r="G17" s="63" t="str"/>
      <x:c r="H17" s="63" t="str"/>
      <x:c r="I17" s="36" t="str">
        <x:f>IF(D17="Multiple Choice",IF(G17="","",IF(UPPER(TRIM(G17))=VLOOKUP(A17,'Answer Key &amp; Rubrics'!$B$6:$J$59,5,FALSE),L17,0)),"")</x:f>
      </x:c>
      <x:c r="J17" s="63" t="str"/>
      <x:c r="K17" s="36" t="str">
        <x:f>IF(D17="Multiple Choice",I17,IF(J17="","",MIN(J17,L17)))</x:f>
      </x:c>
      <x:c r="L17" s="36" t="n">
        <x:v>6</x:v>
      </x:c>
      <x:c r="M17" s="36" t="n">
        <x:v>4</x:v>
      </x:c>
      <x:c r="N17" s="36" t="str">
        <x:f>IF(D17="Multiple Choice",IF(G17="","Not scored",IF(K17&gt;=M17,"Pass","Gap")),IF(J17="","Not scored",IF(K17&gt;=M17,"Pass","Gap")))</x:f>
        <x:v>Not scored</x:v>
      </x:c>
      <x:c r="O17" s="36" t="str">
        <x:v>Strategic / Causal</x:v>
      </x:c>
      <x:c r="P17" s="36" t="str">
        <x:v>Implement a job-submission/status pattern and inject a worker failure.</x:v>
      </x:c>
      <x:c r="Q17" s="63" t="str"/>
      <x:c r="R17" s="37" t="n">
        <x:v>4</x:v>
      </x:c>
    </x:row>
    <x:row r="18" ht="86" customHeight="1">
      <x:c r="A18" s="35" t="str">
        <x:v>E05A</x:v>
      </x:c>
      <x:c r="B18" s="36" t="n">
        <x:v>5</x:v>
      </x:c>
      <x:c r="C18" s="36" t="str">
        <x:v>IAM, trust boundaries, least privilege, networking, and data-protection fundamentals</x:v>
      </x:c>
      <x:c r="D18" s="36" t="str">
        <x:v>Multiple Choice</x:v>
      </x:c>
      <x:c r="E18" s="36" t="str">
        <x:v>What should a Lambda execution role contain?</x:v>
      </x:c>
      <x:c r="F18" s="36" t="str">
        <x:v>A. Only permissions required for its code path and resources
B. Human administrator permissions
C. Every Bedrock and S3 action
D. No identity</x:v>
      </x:c>
      <x:c r="G18" s="63" t="str"/>
      <x:c r="H18" s="63" t="str"/>
      <x:c r="I18" s="36" t="str">
        <x:f>IF(D18="Multiple Choice",IF(G18="","",IF(UPPER(TRIM(G18))=VLOOKUP(A18,'Answer Key &amp; Rubrics'!$B$6:$J$59,5,FALSE),L18,0)),"")</x:f>
      </x:c>
      <x:c r="J18" s="63" t="str"/>
      <x:c r="K18" s="36" t="str">
        <x:f>IF(D18="Multiple Choice",I18,IF(J18="","",MIN(J18,L18)))</x:f>
      </x:c>
      <x:c r="L18" s="36" t="n">
        <x:v>2</x:v>
      </x:c>
      <x:c r="M18" s="36" t="n">
        <x:v>2</x:v>
      </x:c>
      <x:c r="N18" s="36" t="str">
        <x:f>IF(D18="Multiple Choice",IF(G18="","Not scored",IF(K18&gt;=M18,"Pass","Gap")),IF(J18="","Not scored",IF(K18&gt;=M18,"Pass","Gap")))</x:f>
        <x:v>Not scored</x:v>
      </x:c>
      <x:c r="O18" s="36" t="str">
        <x:v>Normative / Embedded</x:v>
      </x:c>
      <x:c r="P18" s="36" t="str">
        <x:v>Test allowed and denied calls with a least-privilege role.</x:v>
      </x:c>
      <x:c r="Q18" s="63" t="str"/>
      <x:c r="R18" s="37" t="n">
        <x:v>5</x:v>
      </x:c>
    </x:row>
    <x:row r="19" ht="86" customHeight="1">
      <x:c r="A19" s="35" t="str">
        <x:v>E05B</x:v>
      </x:c>
      <x:c r="B19" s="36" t="n">
        <x:v>5</x:v>
      </x:c>
      <x:c r="C19" s="36" t="str">
        <x:v>IAM, trust boundaries, least privilege, networking, and data-protection fundamentals</x:v>
      </x:c>
      <x:c r="D19" s="36" t="str">
        <x:v>Multiple Choice</x:v>
      </x:c>
      <x:c r="E19" s="36" t="str">
        <x:v>Where should controls be strongest in a GenAI architecture?</x:v>
      </x:c>
      <x:c r="F19" s="36" t="str">
        <x:v>A. At trust-boundary crossings where identity, data, or control moves between zones
B. Only in the user interface color scheme
C. Only after an incident
D. Nowhere if Bedrock is used</x:v>
      </x:c>
      <x:c r="G19" s="63" t="str"/>
      <x:c r="H19" s="63" t="str"/>
      <x:c r="I19" s="36" t="str">
        <x:f>IF(D19="Multiple Choice",IF(G19="","",IF(UPPER(TRIM(G19))=VLOOKUP(A19,'Answer Key &amp; Rubrics'!$B$6:$J$59,5,FALSE),L19,0)),"")</x:f>
      </x:c>
      <x:c r="J19" s="63" t="str"/>
      <x:c r="K19" s="36" t="str">
        <x:f>IF(D19="Multiple Choice",I19,IF(J19="","",MIN(J19,L19)))</x:f>
      </x:c>
      <x:c r="L19" s="36" t="n">
        <x:v>2</x:v>
      </x:c>
      <x:c r="M19" s="36" t="n">
        <x:v>2</x:v>
      </x:c>
      <x:c r="N19" s="36" t="str">
        <x:f>IF(D19="Multiple Choice",IF(G19="","Not scored",IF(K19&gt;=M19,"Pass","Gap")),IF(J19="","Not scored",IF(K19&gt;=M19,"Pass","Gap")))</x:f>
        <x:v>Not scored</x:v>
      </x:c>
      <x:c r="O19" s="36" t="str">
        <x:v>Conceptual / Normative</x:v>
      </x:c>
      <x:c r="P19" s="36" t="str">
        <x:v>Mark trust boundaries and assign preventive and detective controls.</x:v>
      </x:c>
      <x:c r="Q19" s="63" t="str"/>
      <x:c r="R19" s="37" t="n">
        <x:v>5</x:v>
      </x:c>
    </x:row>
    <x:row r="20" ht="86" customHeight="1">
      <x:c r="A20" s="35" t="str">
        <x:v>E05C</x:v>
      </x:c>
      <x:c r="B20" s="36" t="n">
        <x:v>5</x:v>
      </x:c>
      <x:c r="C20" s="36" t="str">
        <x:v>IAM, trust boundaries, least privilege, networking, and data-protection fundamentals</x:v>
      </x:c>
      <x:c r="D20" s="36" t="str">
        <x:v>Constructed Response</x:v>
      </x:c>
      <x:c r="E20" s="36" t="str">
        <x:v>Review an architecture in which a public API can invoke any Bedrock model and read every document in an S3 bucket. Identify risks and redesign IAM, resource access, network paths, encryption, logging, and sensitive-data handling.</x:v>
      </x:c>
      <x:c r="F20" s="36" t="str">
        <x:v>Provide findings and a corrected control design.</x:v>
      </x:c>
      <x:c r="G20" s="63" t="str"/>
      <x:c r="H20" s="63" t="str"/>
      <x:c r="I20" s="36" t="str">
        <x:f>IF(D20="Multiple Choice",IF(G20="","",IF(UPPER(TRIM(G20))=VLOOKUP(A20,'Answer Key &amp; Rubrics'!$B$6:$J$59,5,FALSE),L20,0)),"")</x:f>
      </x:c>
      <x:c r="J20" s="63" t="str"/>
      <x:c r="K20" s="36" t="str">
        <x:f>IF(D20="Multiple Choice",I20,IF(J20="","",MIN(J20,L20)))</x:f>
      </x:c>
      <x:c r="L20" s="36" t="n">
        <x:v>6</x:v>
      </x:c>
      <x:c r="M20" s="36" t="n">
        <x:v>4</x:v>
      </x:c>
      <x:c r="N20" s="36" t="str">
        <x:f>IF(D20="Multiple Choice",IF(G20="","Not scored",IF(K20&gt;=M20,"Pass","Gap")),IF(J20="","Not scored",IF(K20&gt;=M20,"Pass","Gap")))</x:f>
        <x:v>Not scored</x:v>
      </x:c>
      <x:c r="O20" s="36" t="str">
        <x:v>Strategic / Diagnostic</x:v>
      </x:c>
      <x:c r="P20" s="36" t="str">
        <x:v>Perform a least-privilege and trust-boundary review using denied test cases.</x:v>
      </x:c>
      <x:c r="Q20" s="63" t="str"/>
      <x:c r="R20" s="37" t="n">
        <x:v>5</x:v>
      </x:c>
    </x:row>
    <x:row r="21" ht="86" customHeight="1">
      <x:c r="A21" s="35" t="str">
        <x:v>E06A</x:v>
      </x:c>
      <x:c r="B21" s="36" t="n">
        <x:v>6</x:v>
      </x:c>
      <x:c r="C21" s="36" t="str">
        <x:v>GenAI requirements analysis and basic solution architecture</x:v>
      </x:c>
      <x:c r="D21" s="36" t="str">
        <x:v>Multiple Choice</x:v>
      </x:c>
      <x:c r="E21" s="36" t="str">
        <x:v>Which requirement is measurable enough to guide architecture?</x:v>
      </x:c>
      <x:c r="F21" s="36" t="str">
        <x:v>A. 'The assistant should be good'
B. 'For approved employees, 95% of policy questions should return a grounded answer or abstention within 4 seconds at the defined workload'
C. 'Use AI everywhere'
D. 'Choose the newest model'</x:v>
      </x:c>
      <x:c r="G21" s="63" t="str"/>
      <x:c r="H21" s="63" t="str"/>
      <x:c r="I21" s="36" t="str">
        <x:f>IF(D21="Multiple Choice",IF(G21="","",IF(UPPER(TRIM(G21))=VLOOKUP(A21,'Answer Key &amp; Rubrics'!$B$6:$J$59,5,FALSE),L21,0)),"")</x:f>
      </x:c>
      <x:c r="J21" s="63" t="str"/>
      <x:c r="K21" s="36" t="str">
        <x:f>IF(D21="Multiple Choice",I21,IF(J21="","",MIN(J21,L21)))</x:f>
      </x:c>
      <x:c r="L21" s="36" t="n">
        <x:v>2</x:v>
      </x:c>
      <x:c r="M21" s="36" t="n">
        <x:v>2</x:v>
      </x:c>
      <x:c r="N21" s="36" t="str">
        <x:f>IF(D21="Multiple Choice",IF(G21="","Not scored",IF(K21&gt;=M21,"Pass","Gap")),IF(J21="","Not scored",IF(K21&gt;=M21,"Pass","Gap")))</x:f>
        <x:v>Not scored</x:v>
      </x:c>
      <x:c r="O21" s="36" t="str">
        <x:v>Strategic</x:v>
      </x:c>
      <x:c r="P21" s="36" t="str">
        <x:v>Rewrite vague requirements into measurable acceptance criteria.</x:v>
      </x:c>
      <x:c r="Q21" s="63" t="str"/>
      <x:c r="R21" s="37" t="n">
        <x:v>6</x:v>
      </x:c>
    </x:row>
    <x:row r="22" ht="86" customHeight="1">
      <x:c r="A22" s="35" t="str">
        <x:v>E06B</x:v>
      </x:c>
      <x:c r="B22" s="36" t="n">
        <x:v>6</x:v>
      </x:c>
      <x:c r="C22" s="36" t="str">
        <x:v>GenAI requirements analysis and basic solution architecture</x:v>
      </x:c>
      <x:c r="D22" s="36" t="str">
        <x:v>Multiple Choice</x:v>
      </x:c>
      <x:c r="E22" s="36" t="str">
        <x:v>What is the purpose of an architecture decision record?</x:v>
      </x:c>
      <x:c r="F22" s="36" t="str">
        <x:v>A. Record context, decision, alternatives, rationale, and consequences
B. Store API keys
C. Replace all diagrams
D. Increase model accuracy automatically</x:v>
      </x:c>
      <x:c r="G22" s="63" t="str"/>
      <x:c r="H22" s="63" t="str"/>
      <x:c r="I22" s="36" t="str">
        <x:f>IF(D22="Multiple Choice",IF(G22="","",IF(UPPER(TRIM(G22))=VLOOKUP(A22,'Answer Key &amp; Rubrics'!$B$6:$J$59,5,FALSE),L22,0)),"")</x:f>
      </x:c>
      <x:c r="J22" s="63" t="str"/>
      <x:c r="K22" s="36" t="str">
        <x:f>IF(D22="Multiple Choice",I22,IF(J22="","",MIN(J22,L22)))</x:f>
      </x:c>
      <x:c r="L22" s="36" t="n">
        <x:v>2</x:v>
      </x:c>
      <x:c r="M22" s="36" t="n">
        <x:v>2</x:v>
      </x:c>
      <x:c r="N22" s="36" t="str">
        <x:f>IF(D22="Multiple Choice",IF(G22="","Not scored",IF(K22&gt;=M22,"Pass","Gap")),IF(J22="","Not scored",IF(K22&gt;=M22,"Pass","Gap")))</x:f>
        <x:v>Not scored</x:v>
      </x:c>
      <x:c r="O22" s="36" t="str">
        <x:v>Strategic / Explicit</x:v>
      </x:c>
      <x:c r="P22" s="36" t="str">
        <x:v>Write an ADR for model/API selection.</x:v>
      </x:c>
      <x:c r="Q22" s="63" t="str"/>
      <x:c r="R22" s="37" t="n">
        <x:v>6</x:v>
      </x:c>
    </x:row>
    <x:row r="23" ht="86" customHeight="1">
      <x:c r="A23" s="35" t="str">
        <x:v>E06C</x:v>
      </x:c>
      <x:c r="B23" s="36" t="n">
        <x:v>6</x:v>
      </x:c>
      <x:c r="C23" s="36" t="str">
        <x:v>GenAI requirements analysis and basic solution architecture</x:v>
      </x:c>
      <x:c r="D23" s="36" t="str">
        <x:v>Constructed Response</x:v>
      </x:c>
      <x:c r="E23" s="36" t="str">
        <x:v>Design an MVP and production target architecture for an internal knowledge assistant. Separate what must be proven in the MVP from production concerns such as scale, resilience, security, evaluation, and operations.</x:v>
      </x:c>
      <x:c r="F23" s="36" t="str">
        <x:v>Provide two stages and explicit promotion criteria.</x:v>
      </x:c>
      <x:c r="G23" s="63" t="str"/>
      <x:c r="H23" s="63" t="str"/>
      <x:c r="I23" s="36" t="str">
        <x:f>IF(D23="Multiple Choice",IF(G23="","",IF(UPPER(TRIM(G23))=VLOOKUP(A23,'Answer Key &amp; Rubrics'!$B$6:$J$59,5,FALSE),L23,0)),"")</x:f>
      </x:c>
      <x:c r="J23" s="63" t="str"/>
      <x:c r="K23" s="36" t="str">
        <x:f>IF(D23="Multiple Choice",I23,IF(J23="","",MIN(J23,L23)))</x:f>
      </x:c>
      <x:c r="L23" s="36" t="n">
        <x:v>6</x:v>
      </x:c>
      <x:c r="M23" s="36" t="n">
        <x:v>4</x:v>
      </x:c>
      <x:c r="N23" s="36" t="str">
        <x:f>IF(D23="Multiple Choice",IF(G23="","Not scored",IF(K23&gt;=M23,"Pass","Gap")),IF(J23="","Not scored",IF(K23&gt;=M23,"Pass","Gap")))</x:f>
        <x:v>Not scored</x:v>
      </x:c>
      <x:c r="O23" s="36" t="str">
        <x:v>Strategic / Tacit</x:v>
      </x:c>
      <x:c r="P23" s="36" t="str">
        <x:v>Create a proof-of-concept plan with falsifiable success criteria.</x:v>
      </x:c>
      <x:c r="Q23" s="63" t="str"/>
      <x:c r="R23" s="37" t="n">
        <x:v>6</x:v>
      </x:c>
    </x:row>
    <x:row r="24" ht="86" customHeight="1">
      <x:c r="A24" s="35" t="str">
        <x:v>E07A</x:v>
      </x:c>
      <x:c r="B24" s="36" t="n">
        <x:v>7</x:v>
      </x:c>
      <x:c r="C24" s="36" t="str">
        <x:v>Foundation-model capabilities, limitations, and basic model selection</x:v>
      </x:c>
      <x:c r="D24" s="36" t="str">
        <x:v>Multiple Choice</x:v>
      </x:c>
      <x:c r="E24" s="36" t="str">
        <x:v>Which evaluation set is most appropriate for model selection?</x:v>
      </x:c>
      <x:c r="F24" s="36" t="str">
        <x:v>A. Representative workload examples and edge cases tied to acceptance criteria
B. Only vendor demonstrations
C. One prompt selected after testing
D. Unrelated benchmark tasks only</x:v>
      </x:c>
      <x:c r="G24" s="63" t="str"/>
      <x:c r="H24" s="63" t="str"/>
      <x:c r="I24" s="36" t="str">
        <x:f>IF(D24="Multiple Choice",IF(G24="","",IF(UPPER(TRIM(G24))=VLOOKUP(A24,'Answer Key &amp; Rubrics'!$B$6:$J$59,5,FALSE),L24,0)),"")</x:f>
      </x:c>
      <x:c r="J24" s="63" t="str"/>
      <x:c r="K24" s="36" t="str">
        <x:f>IF(D24="Multiple Choice",I24,IF(J24="","",MIN(J24,L24)))</x:f>
      </x:c>
      <x:c r="L24" s="36" t="n">
        <x:v>2</x:v>
      </x:c>
      <x:c r="M24" s="36" t="n">
        <x:v>2</x:v>
      </x:c>
      <x:c r="N24" s="36" t="str">
        <x:f>IF(D24="Multiple Choice",IF(G24="","Not scored",IF(K24&gt;=M24,"Pass","Gap")),IF(J24="","Not scored",IF(K24&gt;=M24,"Pass","Gap")))</x:f>
        <x:v>Not scored</x:v>
      </x:c>
      <x:c r="O24" s="36" t="str">
        <x:v>Conditional / Strategic</x:v>
      </x:c>
      <x:c r="P24" s="36" t="str">
        <x:v>Create a representative selection dataset and weighted criteria.</x:v>
      </x:c>
      <x:c r="Q24" s="63" t="str"/>
      <x:c r="R24" s="37" t="n">
        <x:v>7</x:v>
      </x:c>
    </x:row>
    <x:row r="25" ht="86" customHeight="1">
      <x:c r="A25" s="35" t="str">
        <x:v>E07B</x:v>
      </x:c>
      <x:c r="B25" s="36" t="n">
        <x:v>7</x:v>
      </x:c>
      <x:c r="C25" s="36" t="str">
        <x:v>Foundation-model capabilities, limitations, and basic model selection</x:v>
      </x:c>
      <x:c r="D25" s="36" t="str">
        <x:v>Multiple Choice</x:v>
      </x:c>
      <x:c r="E25" s="36" t="str">
        <x:v>A smaller model meets all quality and safety thresholds and is materially faster and cheaper. What is the most defensible choice?</x:v>
      </x:c>
      <x:c r="F25" s="36" t="str">
        <x:v>A. Use the smaller model unless another requirement justifies the larger model
B. Always use the largest model
C. Use both without routing rules
D. Avoid measuring cost</x:v>
      </x:c>
      <x:c r="G25" s="63" t="str"/>
      <x:c r="H25" s="63" t="str"/>
      <x:c r="I25" s="36" t="str">
        <x:f>IF(D25="Multiple Choice",IF(G25="","",IF(UPPER(TRIM(G25))=VLOOKUP(A25,'Answer Key &amp; Rubrics'!$B$6:$J$59,5,FALSE),L25,0)),"")</x:f>
      </x:c>
      <x:c r="J25" s="63" t="str"/>
      <x:c r="K25" s="36" t="str">
        <x:f>IF(D25="Multiple Choice",I25,IF(J25="","",MIN(J25,L25)))</x:f>
      </x:c>
      <x:c r="L25" s="36" t="n">
        <x:v>2</x:v>
      </x:c>
      <x:c r="M25" s="36" t="n">
        <x:v>2</x:v>
      </x:c>
      <x:c r="N25" s="36" t="str">
        <x:f>IF(D25="Multiple Choice",IF(G25="","Not scored",IF(K25&gt;=M25,"Pass","Gap")),IF(J25="","Not scored",IF(K25&gt;=M25,"Pass","Gap")))</x:f>
        <x:v>Not scored</x:v>
      </x:c>
      <x:c r="O25" s="36" t="str">
        <x:v>Strategic</x:v>
      </x:c>
      <x:c r="P25" s="36" t="str">
        <x:v>Practice quality-cost-latency trade-off decisions.</x:v>
      </x:c>
      <x:c r="Q25" s="63" t="str"/>
      <x:c r="R25" s="37" t="n">
        <x:v>7</x:v>
      </x:c>
    </x:row>
    <x:row r="26" ht="86" customHeight="1">
      <x:c r="A26" s="35" t="str">
        <x:v>E07C</x:v>
      </x:c>
      <x:c r="B26" s="36" t="n">
        <x:v>7</x:v>
      </x:c>
      <x:c r="C26" s="36" t="str">
        <x:v>Foundation-model capabilities, limitations, and basic model selection</x:v>
      </x:c>
      <x:c r="D26" s="36" t="str">
        <x:v>Constructed Response</x:v>
      </x:c>
      <x:c r="E26" s="36" t="str">
        <x:v>Select a model for a multilingual customer-support assistant. Build and apply a scorecard covering quality, supported languages/modalities, context, latency, cost, safety, Region, API compatibility, and operational risk.</x:v>
      </x:c>
      <x:c r="F26" s="36" t="str">
        <x:v>State assumptions and make a justified decision.</x:v>
      </x:c>
      <x:c r="G26" s="63" t="str"/>
      <x:c r="H26" s="63" t="str"/>
      <x:c r="I26" s="36" t="str">
        <x:f>IF(D26="Multiple Choice",IF(G26="","",IF(UPPER(TRIM(G26))=VLOOKUP(A26,'Answer Key &amp; Rubrics'!$B$6:$J$59,5,FALSE),L26,0)),"")</x:f>
      </x:c>
      <x:c r="J26" s="63" t="str"/>
      <x:c r="K26" s="36" t="str">
        <x:f>IF(D26="Multiple Choice",I26,IF(J26="","",MIN(J26,L26)))</x:f>
      </x:c>
      <x:c r="L26" s="36" t="n">
        <x:v>6</x:v>
      </x:c>
      <x:c r="M26" s="36" t="n">
        <x:v>4</x:v>
      </x:c>
      <x:c r="N26" s="36" t="str">
        <x:f>IF(D26="Multiple Choice",IF(G26="","Not scored",IF(K26&gt;=M26,"Pass","Gap")),IF(J26="","Not scored",IF(K26&gt;=M26,"Pass","Gap")))</x:f>
        <x:v>Not scored</x:v>
      </x:c>
      <x:c r="O26" s="36" t="str">
        <x:v>Strategic / Conditional</x:v>
      </x:c>
      <x:c r="P26" s="36" t="str">
        <x:v>Re-run model selection after changing one major constraint.</x:v>
      </x:c>
      <x:c r="Q26" s="63" t="str"/>
      <x:c r="R26" s="37" t="n">
        <x:v>7</x:v>
      </x:c>
    </x:row>
    <x:row r="27" ht="86" customHeight="1">
      <x:c r="A27" s="35" t="str">
        <x:v>E08A</x:v>
      </x:c>
      <x:c r="B27" s="36" t="n">
        <x:v>8</x:v>
      </x:c>
      <x:c r="C27" s="36" t="str">
        <x:v>Basic Amazon Bedrock model invocation</x:v>
      </x:c>
      <x:c r="D27" s="36" t="str">
        <x:v>Multiple Choice</x:v>
      </x:c>
      <x:c r="E27" s="36" t="str">
        <x:v>What does InvokeModel do?</x:v>
      </x:c>
      <x:c r="F27" s="36" t="str">
        <x:v>A. Invokes a specified Bedrock model using the request body and inference parameters
B. Creates an IAM user
C. Builds a VPC
D. Trains every model from scratch</x:v>
      </x:c>
      <x:c r="G27" s="63" t="str"/>
      <x:c r="H27" s="63" t="str"/>
      <x:c r="I27" s="36" t="str">
        <x:f>IF(D27="Multiple Choice",IF(G27="","",IF(UPPER(TRIM(G27))=VLOOKUP(A27,'Answer Key &amp; Rubrics'!$B$6:$J$59,5,FALSE),L27,0)),"")</x:f>
      </x:c>
      <x:c r="J27" s="63" t="str"/>
      <x:c r="K27" s="36" t="str">
        <x:f>IF(D27="Multiple Choice",I27,IF(J27="","",MIN(J27,L27)))</x:f>
      </x:c>
      <x:c r="L27" s="36" t="n">
        <x:v>2</x:v>
      </x:c>
      <x:c r="M27" s="36" t="n">
        <x:v>2</x:v>
      </x:c>
      <x:c r="N27" s="36" t="str">
        <x:f>IF(D27="Multiple Choice",IF(G27="","Not scored",IF(K27&gt;=M27,"Pass","Gap")),IF(J27="","Not scored",IF(K27&gt;=M27,"Pass","Gap")))</x:f>
        <x:v>Not scored</x:v>
      </x:c>
      <x:c r="O27" s="36" t="str">
        <x:v>Declarative / Embedded</x:v>
      </x:c>
      <x:c r="P27" s="36" t="str">
        <x:v>Trace an InvokeModel request and response.</x:v>
      </x:c>
      <x:c r="Q27" s="63" t="str"/>
      <x:c r="R27" s="37" t="n">
        <x:v>8</x:v>
      </x:c>
    </x:row>
    <x:row r="28" ht="86" customHeight="1">
      <x:c r="A28" s="35" t="str">
        <x:v>E08B</x:v>
      </x:c>
      <x:c r="B28" s="36" t="n">
        <x:v>8</x:v>
      </x:c>
      <x:c r="C28" s="36" t="str">
        <x:v>Basic Amazon Bedrock model invocation</x:v>
      </x:c>
      <x:c r="D28" s="36" t="str">
        <x:v>Multiple Choice</x:v>
      </x:c>
      <x:c r="E28" s="36" t="str">
        <x:v>What is the recommended production authentication pattern for AWS SDK calls?</x:v>
      </x:c>
      <x:c r="F28" s="36" t="str">
        <x:v>A. IAM roles or temporary credentials associated with the workload
B. Hard-coded root credentials
C. Credentials stored in prompts
D. Public anonymous access</x:v>
      </x:c>
      <x:c r="G28" s="63" t="str"/>
      <x:c r="H28" s="63" t="str"/>
      <x:c r="I28" s="36" t="str">
        <x:f>IF(D28="Multiple Choice",IF(G28="","",IF(UPPER(TRIM(G28))=VLOOKUP(A28,'Answer Key &amp; Rubrics'!$B$6:$J$59,5,FALSE),L28,0)),"")</x:f>
      </x:c>
      <x:c r="J28" s="63" t="str"/>
      <x:c r="K28" s="36" t="str">
        <x:f>IF(D28="Multiple Choice",I28,IF(J28="","",MIN(J28,L28)))</x:f>
      </x:c>
      <x:c r="L28" s="36" t="n">
        <x:v>2</x:v>
      </x:c>
      <x:c r="M28" s="36" t="n">
        <x:v>2</x:v>
      </x:c>
      <x:c r="N28" s="36" t="str">
        <x:f>IF(D28="Multiple Choice",IF(G28="","Not scored",IF(K28&gt;=M28,"Pass","Gap")),IF(J28="","Not scored",IF(K28&gt;=M28,"Pass","Gap")))</x:f>
        <x:v>Not scored</x:v>
      </x:c>
      <x:c r="O28" s="36" t="str">
        <x:v>Normative / Embedded</x:v>
      </x:c>
      <x:c r="P28" s="36" t="str">
        <x:v>Replace static credentials with an execution role.</x:v>
      </x:c>
      <x:c r="Q28" s="63" t="str"/>
      <x:c r="R28" s="37" t="n">
        <x:v>8</x:v>
      </x:c>
    </x:row>
    <x:row r="29" ht="86" customHeight="1">
      <x:c r="A29" s="35" t="str">
        <x:v>E08C</x:v>
      </x:c>
      <x:c r="B29" s="36" t="n">
        <x:v>8</x:v>
      </x:c>
      <x:c r="C29" s="36" t="str">
        <x:v>Basic Amazon Bedrock model invocation</x:v>
      </x:c>
      <x:c r="D29" s="36" t="str">
        <x:v>Constructed Response</x:v>
      </x:c>
      <x:c r="E29" s="36" t="str">
        <x:v>Demonstrate a successful Bedrock inference call and a controlled failure. Provide the request, response parsing, IAM permissions, timeout/retry policy, and logs or evidence for success and failure.</x:v>
      </x:c>
      <x:c r="F29" s="36" t="str">
        <x:v>Submit code, screenshots/log excerpts, and a short explanation.</x:v>
      </x:c>
      <x:c r="G29" s="63" t="str"/>
      <x:c r="H29" s="63" t="str"/>
      <x:c r="I29" s="36" t="str">
        <x:f>IF(D29="Multiple Choice",IF(G29="","",IF(UPPER(TRIM(G29))=VLOOKUP(A29,'Answer Key &amp; Rubrics'!$B$6:$J$59,5,FALSE),L29,0)),"")</x:f>
      </x:c>
      <x:c r="J29" s="63" t="str"/>
      <x:c r="K29" s="36" t="str">
        <x:f>IF(D29="Multiple Choice",I29,IF(J29="","",MIN(J29,L29)))</x:f>
      </x:c>
      <x:c r="L29" s="36" t="n">
        <x:v>6</x:v>
      </x:c>
      <x:c r="M29" s="36" t="n">
        <x:v>4</x:v>
      </x:c>
      <x:c r="N29" s="36" t="str">
        <x:f>IF(D29="Multiple Choice",IF(G29="","Not scored",IF(K29&gt;=M29,"Pass","Gap")),IF(J29="","Not scored",IF(K29&gt;=M29,"Pass","Gap")))</x:f>
        <x:v>Not scored</x:v>
      </x:c>
      <x:c r="O29" s="36" t="str">
        <x:v>Procedural / Diagnostic</x:v>
      </x:c>
      <x:c r="P29" s="36" t="str">
        <x:v>Repeat the invocation from a clean environment and troubleshoot an injected permission or throttling error.</x:v>
      </x:c>
      <x:c r="Q29" s="63" t="str"/>
      <x:c r="R29" s="37" t="n">
        <x:v>8</x:v>
      </x:c>
    </x:row>
    <x:row r="30" ht="86" customHeight="1">
      <x:c r="A30" s="35" t="str">
        <x:v>E09A</x:v>
      </x:c>
      <x:c r="B30" s="36" t="n">
        <x:v>9</x:v>
      </x:c>
      <x:c r="C30" s="36" t="str">
        <x:v>Prompt fundamentals, instructions, templates, and structured outputs</x:v>
      </x:c>
      <x:c r="D30" s="36" t="str">
        <x:v>Multiple Choice</x:v>
      </x:c>
      <x:c r="E30" s="36" t="str">
        <x:v>What is the best way to handle missing source fields in structured extraction?</x:v>
      </x:c>
      <x:c r="F30" s="36" t="str">
        <x:v>A. Define explicit null/unknown behavior in the prompt and schema
B. Let the model invent values
C. Increase temperature
D. Remove validation</x:v>
      </x:c>
      <x:c r="G30" s="63" t="str"/>
      <x:c r="H30" s="63" t="str"/>
      <x:c r="I30" s="36" t="str">
        <x:f>IF(D30="Multiple Choice",IF(G30="","",IF(UPPER(TRIM(G30))=VLOOKUP(A30,'Answer Key &amp; Rubrics'!$B$6:$J$59,5,FALSE),L30,0)),"")</x:f>
      </x:c>
      <x:c r="J30" s="63" t="str"/>
      <x:c r="K30" s="36" t="str">
        <x:f>IF(D30="Multiple Choice",I30,IF(J30="","",MIN(J30,L30)))</x:f>
      </x:c>
      <x:c r="L30" s="36" t="n">
        <x:v>2</x:v>
      </x:c>
      <x:c r="M30" s="36" t="n">
        <x:v>2</x:v>
      </x:c>
      <x:c r="N30" s="36" t="str">
        <x:f>IF(D30="Multiple Choice",IF(G30="","Not scored",IF(K30&gt;=M30,"Pass","Gap")),IF(J30="","Not scored",IF(K30&gt;=M30,"Pass","Gap")))</x:f>
        <x:v>Not scored</x:v>
      </x:c>
      <x:c r="O30" s="36" t="str">
        <x:v>Procedural / Normative</x:v>
      </x:c>
      <x:c r="P30" s="36" t="str">
        <x:v>Add missing and conflicting inputs to the prompt regression set.</x:v>
      </x:c>
      <x:c r="Q30" s="63" t="str"/>
      <x:c r="R30" s="37" t="n">
        <x:v>9</x:v>
      </x:c>
    </x:row>
    <x:row r="31" ht="86" customHeight="1">
      <x:c r="A31" s="35" t="str">
        <x:v>E09B</x:v>
      </x:c>
      <x:c r="B31" s="36" t="n">
        <x:v>9</x:v>
      </x:c>
      <x:c r="C31" s="36" t="str">
        <x:v>Prompt fundamentals, instructions, templates, and structured outputs</x:v>
      </x:c>
      <x:c r="D31" s="36" t="str">
        <x:v>Multiple Choice</x:v>
      </x:c>
      <x:c r="E31" s="36" t="str">
        <x:v>Why should prompts be versioned?</x:v>
      </x:c>
      <x:c r="F31" s="36" t="str">
        <x:v>A. To enable reproducibility, review, regression comparison, and rollback
B. To avoid testing
C. To expand IAM permissions
D. To hide instructions from developers</x:v>
      </x:c>
      <x:c r="G31" s="63" t="str"/>
      <x:c r="H31" s="63" t="str"/>
      <x:c r="I31" s="36" t="str">
        <x:f>IF(D31="Multiple Choice",IF(G31="","",IF(UPPER(TRIM(G31))=VLOOKUP(A31,'Answer Key &amp; Rubrics'!$B$6:$J$59,5,FALSE),L31,0)),"")</x:f>
      </x:c>
      <x:c r="J31" s="63" t="str"/>
      <x:c r="K31" s="36" t="str">
        <x:f>IF(D31="Multiple Choice",I31,IF(J31="","",MIN(J31,L31)))</x:f>
      </x:c>
      <x:c r="L31" s="36" t="n">
        <x:v>2</x:v>
      </x:c>
      <x:c r="M31" s="36" t="n">
        <x:v>2</x:v>
      </x:c>
      <x:c r="N31" s="36" t="str">
        <x:f>IF(D31="Multiple Choice",IF(G31="","Not scored",IF(K31&gt;=M31,"Pass","Gap")),IF(J31="","Not scored",IF(K31&gt;=M31,"Pass","Gap")))</x:f>
        <x:v>Not scored</x:v>
      </x:c>
      <x:c r="O31" s="36" t="str">
        <x:v>Procedural / Institutional</x:v>
      </x:c>
      <x:c r="P31" s="36" t="str">
        <x:v>Create two prompt versions and compare them against the same test set.</x:v>
      </x:c>
      <x:c r="Q31" s="63" t="str"/>
      <x:c r="R31" s="37" t="n">
        <x:v>9</x:v>
      </x:c>
    </x:row>
    <x:row r="32" ht="86" customHeight="1">
      <x:c r="A32" s="35" t="str">
        <x:v>E09C</x:v>
      </x:c>
      <x:c r="B32" s="36" t="n">
        <x:v>9</x:v>
      </x:c>
      <x:c r="C32" s="36" t="str">
        <x:v>Prompt fundamentals, instructions, templates, and structured outputs</x:v>
      </x:c>
      <x:c r="D32" s="36" t="str">
        <x:v>Constructed Response</x:v>
      </x:c>
      <x:c r="E32" s="36" t="str">
        <x:v>Improve a weak free-form extraction prompt into a reusable template with variables, clear instruction hierarchy, delimiters, structured output, failure behavior, and regression tests.</x:v>
      </x:c>
      <x:c r="F32" s="36" t="str">
        <x:v>Submit before/after prompts, schema, and test evidence.</x:v>
      </x:c>
      <x:c r="G32" s="63" t="str"/>
      <x:c r="H32" s="63" t="str"/>
      <x:c r="I32" s="36" t="str">
        <x:f>IF(D32="Multiple Choice",IF(G32="","",IF(UPPER(TRIM(G32))=VLOOKUP(A32,'Answer Key &amp; Rubrics'!$B$6:$J$59,5,FALSE),L32,0)),"")</x:f>
      </x:c>
      <x:c r="J32" s="63" t="str"/>
      <x:c r="K32" s="36" t="str">
        <x:f>IF(D32="Multiple Choice",I32,IF(J32="","",MIN(J32,L32)))</x:f>
      </x:c>
      <x:c r="L32" s="36" t="n">
        <x:v>6</x:v>
      </x:c>
      <x:c r="M32" s="36" t="n">
        <x:v>4</x:v>
      </x:c>
      <x:c r="N32" s="36" t="str">
        <x:f>IF(D32="Multiple Choice",IF(G32="","Not scored",IF(K32&gt;=M32,"Pass","Gap")),IF(J32="","Not scored",IF(K32&gt;=M32,"Pass","Gap")))</x:f>
        <x:v>Not scored</x:v>
      </x:c>
      <x:c r="O32" s="36" t="str">
        <x:v>Procedural / Causal</x:v>
      </x:c>
      <x:c r="P32" s="36" t="str">
        <x:v>Use iterative prompt refinement against a fixed golden set.</x:v>
      </x:c>
      <x:c r="Q32" s="63" t="str"/>
      <x:c r="R32" s="37" t="n">
        <x:v>9</x:v>
      </x:c>
    </x:row>
    <x:row r="33" ht="86" customHeight="1">
      <x:c r="A33" s="35" t="str">
        <x:v>E10A</x:v>
      </x:c>
      <x:c r="B33" s="36" t="n">
        <x:v>10</x:v>
      </x:c>
      <x:c r="C33" s="36" t="str">
        <x:v>Basic GenAI evaluation concepts and golden datasets</x:v>
      </x:c>
      <x:c r="D33" s="36" t="str">
        <x:v>Multiple Choice</x:v>
      </x:c>
      <x:c r="E33" s="36" t="str">
        <x:v>Why should evaluation include edge and failure cases?</x:v>
      </x:c>
      <x:c r="F33" s="36" t="str">
        <x:v>A. Average performance can hide unsafe or unacceptable behavior in important conditions
B. They always increase model cost
C. They remove the need for production monitoring
D. They make every output deterministic</x:v>
      </x:c>
      <x:c r="G33" s="63" t="str"/>
      <x:c r="H33" s="63" t="str"/>
      <x:c r="I33" s="36" t="str">
        <x:f>IF(D33="Multiple Choice",IF(G33="","",IF(UPPER(TRIM(G33))=VLOOKUP(A33,'Answer Key &amp; Rubrics'!$B$6:$J$59,5,FALSE),L33,0)),"")</x:f>
      </x:c>
      <x:c r="J33" s="63" t="str"/>
      <x:c r="K33" s="36" t="str">
        <x:f>IF(D33="Multiple Choice",I33,IF(J33="","",MIN(J33,L33)))</x:f>
      </x:c>
      <x:c r="L33" s="36" t="n">
        <x:v>2</x:v>
      </x:c>
      <x:c r="M33" s="36" t="n">
        <x:v>2</x:v>
      </x:c>
      <x:c r="N33" s="36" t="str">
        <x:f>IF(D33="Multiple Choice",IF(G33="","Not scored",IF(K33&gt;=M33,"Pass","Gap")),IF(J33="","Not scored",IF(K33&gt;=M33,"Pass","Gap")))</x:f>
        <x:v>Not scored</x:v>
      </x:c>
      <x:c r="O33" s="36" t="str">
        <x:v>Conceptual / Normative</x:v>
      </x:c>
      <x:c r="P33" s="36" t="str">
        <x:v>Expand evaluation coverage based on risk and observed errors.</x:v>
      </x:c>
      <x:c r="Q33" s="63" t="str"/>
      <x:c r="R33" s="37" t="n">
        <x:v>10</x:v>
      </x:c>
    </x:row>
    <x:row r="34" ht="86" customHeight="1">
      <x:c r="A34" s="35" t="str">
        <x:v>E10B</x:v>
      </x:c>
      <x:c r="B34" s="36" t="n">
        <x:v>10</x:v>
      </x:c>
      <x:c r="C34" s="36" t="str">
        <x:v>Basic GenAI evaluation concepts and golden datasets</x:v>
      </x:c>
      <x:c r="D34" s="36" t="str">
        <x:v>Multiple Choice</x:v>
      </x:c>
      <x:c r="E34" s="36" t="str">
        <x:v>Which release decision is best supported?</x:v>
      </x:c>
      <x:c r="F34" s="36" t="str">
        <x:v>A. Release because one answer looked good
B. Release because the model is popular
C. Release only when defined quality, safety, latency, and cost thresholds are met on representative data
D. Release without preserving results</x:v>
      </x:c>
      <x:c r="G34" s="63" t="str"/>
      <x:c r="H34" s="63" t="str"/>
      <x:c r="I34" s="36" t="str">
        <x:f>IF(D34="Multiple Choice",IF(G34="","",IF(UPPER(TRIM(G34))=VLOOKUP(A34,'Answer Key &amp; Rubrics'!$B$6:$J$59,5,FALSE),L34,0)),"")</x:f>
      </x:c>
      <x:c r="J34" s="63" t="str"/>
      <x:c r="K34" s="36" t="str">
        <x:f>IF(D34="Multiple Choice",I34,IF(J34="","",MIN(J34,L34)))</x:f>
      </x:c>
      <x:c r="L34" s="36" t="n">
        <x:v>2</x:v>
      </x:c>
      <x:c r="M34" s="36" t="n">
        <x:v>2</x:v>
      </x:c>
      <x:c r="N34" s="36" t="str">
        <x:f>IF(D34="Multiple Choice",IF(G34="","Not scored",IF(K34&gt;=M34,"Pass","Gap")),IF(J34="","Not scored",IF(K34&gt;=M34,"Pass","Gap")))</x:f>
        <x:v>Not scored</x:v>
      </x:c>
      <x:c r="O34" s="36" t="str">
        <x:v>Strategic</x:v>
      </x:c>
      <x:c r="P34" s="36" t="str">
        <x:v>Define evaluation thresholds before comparing candidates.</x:v>
      </x:c>
      <x:c r="Q34" s="63" t="str"/>
      <x:c r="R34" s="37" t="n">
        <x:v>10</x:v>
      </x:c>
    </x:row>
    <x:row r="35" ht="86" customHeight="1">
      <x:c r="A35" s="38" t="str">
        <x:v>E10C</x:v>
      </x:c>
      <x:c r="B35" s="39" t="n">
        <x:v>10</x:v>
      </x:c>
      <x:c r="C35" s="39" t="str">
        <x:v>Basic GenAI evaluation concepts and golden datasets</x:v>
      </x:c>
      <x:c r="D35" s="39" t="str">
        <x:v>Constructed Response</x:v>
      </x:c>
      <x:c r="E35" s="39" t="str">
        <x:v>Create a golden dataset and evaluation plan for the employee policy assistant. Define coverage, expected answers or rubrics, quality and safety metrics, human review, versioning, and release thresholds.</x:v>
      </x:c>
      <x:c r="F35" s="39" t="str">
        <x:v>Provide the dataset design and a sample decision report.</x:v>
      </x:c>
      <x:c r="G35" s="72" t="str"/>
      <x:c r="H35" s="72" t="str"/>
      <x:c r="I35" s="39" t="str">
        <x:f>IF(D35="Multiple Choice",IF(G35="","",IF(UPPER(TRIM(G35))=VLOOKUP(A35,'Answer Key &amp; Rubrics'!$B$6:$J$59,5,FALSE),L35,0)),"")</x:f>
      </x:c>
      <x:c r="J35" s="72" t="str"/>
      <x:c r="K35" s="39" t="str">
        <x:f>IF(D35="Multiple Choice",I35,IF(J35="","",MIN(J35,L35)))</x:f>
      </x:c>
      <x:c r="L35" s="39" t="n">
        <x:v>6</x:v>
      </x:c>
      <x:c r="M35" s="39" t="n">
        <x:v>4</x:v>
      </x:c>
      <x:c r="N35" s="39" t="str">
        <x:f>IF(D35="Multiple Choice",IF(G35="","Not scored",IF(K35&gt;=M35,"Pass","Gap")),IF(J35="","Not scored",IF(K35&gt;=M35,"Pass","Gap")))</x:f>
        <x:v>Not scored</x:v>
      </x:c>
      <x:c r="O35" s="39" t="str">
        <x:v>Strategic / Procedural</x:v>
      </x:c>
      <x:c r="P35" s="39" t="str">
        <x:v>Revise the dataset after error analysis and rerun the comparison.</x:v>
      </x:c>
      <x:c r="Q35" s="72" t="str"/>
      <x:c r="R35" s="40" t="n">
        <x:v>10</x:v>
      </x:c>
    </x:row>
  </x:sheetData>
  <x:mergeCells>
    <x:mergeCell ref="A1:R1"/>
    <x:mergeCell ref="A2:R3"/>
  </x:mergeCells>
  <x:conditionalFormatting sqref="N6:N35">
    <x:cfRule type="expression" dxfId="8" priority="1">
      <x:formula>N6="Pass"</x:formula>
    </x:cfRule>
    <x:cfRule type="expression" dxfId="9" priority="2">
      <x:formula>N6="Gap"</x:formula>
    </x:cfRule>
  </x:conditionalFormatting>
  <x:dataValidations count="22">
    <x:dataValidation type="list" sqref="G6">
      <x:formula1>"A,B,C,D"</x:formula1>
    </x:dataValidation>
    <x:dataValidation type="list" sqref="G7">
      <x:formula1>"A,B,C,D"</x:formula1>
    </x:dataValidation>
    <x:dataValidation type="list" sqref="G9">
      <x:formula1>"A,B,C,D"</x:formula1>
    </x:dataValidation>
    <x:dataValidation type="list" sqref="G10">
      <x:formula1>"A,B,C,D"</x:formula1>
    </x:dataValidation>
    <x:dataValidation type="list" sqref="G12">
      <x:formula1>"A,B,C,D"</x:formula1>
    </x:dataValidation>
    <x:dataValidation type="list" sqref="G13">
      <x:formula1>"A,B,C,D"</x:formula1>
    </x:dataValidation>
    <x:dataValidation type="list" sqref="G15">
      <x:formula1>"A,B,C,D"</x:formula1>
    </x:dataValidation>
    <x:dataValidation type="list" sqref="G16">
      <x:formula1>"A,B,C,D"</x:formula1>
    </x:dataValidation>
    <x:dataValidation type="list" sqref="G18">
      <x:formula1>"A,B,C,D"</x:formula1>
    </x:dataValidation>
    <x:dataValidation type="list" sqref="G19">
      <x:formula1>"A,B,C,D"</x:formula1>
    </x:dataValidation>
    <x:dataValidation type="list" sqref="G21">
      <x:formula1>"A,B,C,D"</x:formula1>
    </x:dataValidation>
    <x:dataValidation type="list" sqref="G22">
      <x:formula1>"A,B,C,D"</x:formula1>
    </x:dataValidation>
    <x:dataValidation type="list" sqref="G24">
      <x:formula1>"A,B,C,D"</x:formula1>
    </x:dataValidation>
    <x:dataValidation type="list" sqref="G25">
      <x:formula1>"A,B,C,D"</x:formula1>
    </x:dataValidation>
    <x:dataValidation type="list" sqref="G27">
      <x:formula1>"A,B,C,D"</x:formula1>
    </x:dataValidation>
    <x:dataValidation type="list" sqref="G28">
      <x:formula1>"A,B,C,D"</x:formula1>
    </x:dataValidation>
    <x:dataValidation type="list" sqref="G30">
      <x:formula1>"A,B,C,D"</x:formula1>
    </x:dataValidation>
    <x:dataValidation type="list" sqref="G31">
      <x:formula1>"A,B,C,D"</x:formula1>
    </x:dataValidation>
    <x:dataValidation type="list" sqref="G33">
      <x:formula1>"A,B,C,D"</x:formula1>
    </x:dataValidation>
    <x:dataValidation type="list" sqref="G34">
      <x:formula1>"A,B,C,D"</x:formula1>
    </x:dataValidation>
    <x:dataValidation type="list" sqref="H6:H35">
      <x:formula1>"1,2,3,4,5"</x:formula1>
    </x:dataValidation>
    <x:dataValidation type="list" sqref="J6:J35">
      <x:formula1>"0,1,2,3,4,5,6"</x:formula1>
    </x:dataValidation>
  </x:dataValidations>
  <x:pageMargins left="0.7" right="0.7" top="0.75" bottom="0.75" header="0.3" footer="0.3"/>
  <x:tableParts count="1">
    <x:tablePart xmlns:r="http://schemas.openxmlformats.org/officeDocument/2006/relationships" r:id="R3f67762319124444"/>
  </x:tableParts>
</x:worksheet>
</file>

<file path=xl/worksheets/sheet7.xml><?xml version="1.0" encoding="utf-8"?>
<x:worksheet xmlns:x="http://schemas.openxmlformats.org/spreadsheetml/2006/main">
  <x:sheetFormatPr defaultRowHeight="15"/>
  <x:cols>
    <x:col min="1" max="1" width="8" hidden="0" customWidth="1"/>
    <x:col min="2" max="2" width="42" hidden="0" customWidth="1"/>
    <x:col min="3" max="3" width="13" hidden="0" customWidth="1"/>
    <x:col min="4" max="4" width="13" hidden="0" customWidth="1"/>
    <x:col min="5" max="5" width="16" hidden="0" customWidth="1"/>
    <x:col min="6" max="6" width="18" hidden="0" customWidth="1"/>
    <x:col min="7" max="7" width="16" hidden="0" customWidth="1"/>
    <x:col min="8" max="8" width="24" hidden="0" customWidth="1"/>
    <x:col min="9" max="9" width="55" hidden="0" customWidth="1"/>
    <x:col min="10" max="10" width="22" hidden="0" customWidth="1"/>
    <x:col min="11" max="11" width="19" hidden="0" customWidth="1"/>
    <x:col min="12" max="12" width="20" hidden="0" customWidth="1"/>
    <x:col min="13" max="13" width="42" hidden="0" customWidth="1"/>
    <x:col min="14" max="14" width="24" hidden="0" customWidth="1"/>
    <x:col min="15" max="15" width="36" hidden="0" customWidth="1"/>
    <x:col min="16" max="16" width="42" hidden="0" customWidth="1"/>
  </x:cols>
  <x:sheetData>
    <x:row r="1" ht="30" customHeight="1">
      <x:c r="A1" s="5" t="str">
        <x:v>Layer 0 Remediation and Reassessment Plan</x:v>
      </x:c>
      <x:c r="B1" s="5"/>
      <x:c r="C1" s="5"/>
      <x:c r="D1" s="5"/>
      <x:c r="E1" s="5"/>
      <x:c r="F1" s="5"/>
      <x:c r="G1" s="5"/>
      <x:c r="H1" s="5"/>
      <x:c r="I1" s="5"/>
      <x:c r="J1" s="5"/>
      <x:c r="K1" s="5"/>
      <x:c r="L1" s="5"/>
      <x:c r="M1" s="5"/>
      <x:c r="N1" s="5"/>
      <x:c r="O1" s="5"/>
      <x:c r="P1" s="5"/>
    </x:row>
    <x:row r="2" ht="38" customHeight="1">
      <x:c r="A2" s="13" t="str">
        <x:v>Remediate by gap type rather than repeating the whole topic. A topic is mastered only when the exit score reaches 70%, its constructed exit task passes, all related required practicals pass, and any reassessment is approved with evidence.</x:v>
      </x:c>
      <x:c r="B2" s="13"/>
      <x:c r="C2" s="13"/>
      <x:c r="D2" s="13"/>
      <x:c r="E2" s="13"/>
      <x:c r="F2" s="13"/>
      <x:c r="G2" s="13"/>
      <x:c r="H2" s="13"/>
      <x:c r="I2" s="13"/>
      <x:c r="J2" s="13"/>
      <x:c r="K2" s="13"/>
      <x:c r="L2" s="13"/>
      <x:c r="M2" s="13"/>
      <x:c r="N2" s="13"/>
      <x:c r="O2" s="13"/>
      <x:c r="P2" s="13"/>
    </x:row>
    <x:row r="3" ht="38" customHeight="1">
      <x:c r="A3" s="13"/>
      <x:c r="B3" s="13"/>
      <x:c r="C3" s="13"/>
      <x:c r="D3" s="13"/>
      <x:c r="E3" s="13"/>
      <x:c r="F3" s="13"/>
      <x:c r="G3" s="13"/>
      <x:c r="H3" s="13"/>
      <x:c r="I3" s="13"/>
      <x:c r="J3" s="13"/>
      <x:c r="K3" s="13"/>
      <x:c r="L3" s="13"/>
      <x:c r="M3" s="13"/>
      <x:c r="N3" s="13"/>
      <x:c r="O3" s="13"/>
      <x:c r="P3" s="13"/>
    </x:row>
    <x:row r="5">
      <x:c r="A5" s="22" t="str">
        <x:v>Topic</x:v>
      </x:c>
      <x:c r="B5" s="22" t="str">
        <x:v>Topic Name</x:v>
      </x:c>
      <x:c r="C5" s="22" t="str">
        <x:v>Topic Check %</x:v>
      </x:c>
      <x:c r="D5" s="22" t="str">
        <x:v>Exit Score %</x:v>
      </x:c>
      <x:c r="E5" s="22" t="str">
        <x:v>Exit Task Result</x:v>
      </x:c>
      <x:c r="F5" s="22" t="str">
        <x:v>Related Practicals</x:v>
      </x:c>
      <x:c r="G5" s="22" t="str">
        <x:v>Practical Status</x:v>
      </x:c>
      <x:c r="H5" s="22" t="str">
        <x:v>Primary Gap Type</x:v>
      </x:c>
      <x:c r="I5" s="22" t="str">
        <x:v>Recommended Remediation</x:v>
      </x:c>
      <x:c r="J5" s="22" t="str">
        <x:v>Remediation Status</x:v>
      </x:c>
      <x:c r="K5" s="22" t="str">
        <x:v>Reassessment Score %</x:v>
      </x:c>
      <x:c r="L5" s="22" t="str">
        <x:v>Reassessment Approved</x:v>
      </x:c>
      <x:c r="M5" s="22" t="str">
        <x:v>Reassessment Evidence</x:v>
      </x:c>
      <x:c r="N5" s="22" t="str">
        <x:v>Final Topic Status</x:v>
      </x:c>
      <x:c r="O5" s="22" t="str">
        <x:v>Next Action</x:v>
      </x:c>
      <x:c r="P5" s="22" t="str">
        <x:v>Assessor Notes</x:v>
      </x:c>
    </x:row>
    <x:row r="6" ht="58" customHeight="1">
      <x:c r="A6" s="32" t="n">
        <x:v>1</x:v>
      </x:c>
      <x:c r="B6" s="33" t="str">
        <x:v>Foundation models and GenAI fundamentals</x:v>
      </x:c>
      <x:c r="C6" s="80" t="str">
        <x:f>IF(COUNTIFS('Topic Mastery Checks'!$B$6:$B$25,A6,'Topic Mastery Checks'!$N$6:$N$25,"&lt;&gt;Not scored")&lt;2,"",SUMIF('Topic Mastery Checks'!$B$6:$B$25,A6,'Topic Mastery Checks'!$K$6:$K$25)/SUMIF('Topic Mastery Checks'!$B$6:$B$25,A6,'Topic Mastery Checks'!$L$6:$L$25))</x:f>
      </x:c>
      <x:c r="D6" s="80" t="str">
        <x:f>IF(COUNTIFS('Exit Assessment'!$B$6:$B$35,A6,'Exit Assessment'!$N$6:$N$35,"&lt;&gt;Not scored")&lt;3,"",SUMIF('Exit Assessment'!$B$6:$B$35,A6,'Exit Assessment'!$K$6:$K$35)/SUMIF('Exit Assessment'!$B$6:$B$35,A6,'Exit Assessment'!$L$6:$L$35))</x:f>
      </x:c>
      <x:c r="E6" s="33" t="str">
        <x:f>'Exit Assessment'!N8</x:f>
        <x:v>Not scored</x:v>
      </x:c>
      <x:c r="F6" s="33" t="str">
        <x:v>P01</x:v>
      </x:c>
      <x:c r="G6" s="33" t="str">
        <x:f>'Practical Exercises'!M6</x:f>
        <x:v>Not scored</x:v>
      </x:c>
      <x:c r="H6" s="33" t="str">
        <x:v>Conceptual</x:v>
      </x:c>
      <x:c r="I6" s="33" t="str">
        <x:v>Concept map and self-explanation: reconstruct the model lifecycle and classify examples. Sort 12 statements into pre-training, inference, prompting, RAG, fine-tuning, or evaluation.</x:v>
      </x:c>
      <x:c r="J6" s="62" t="str">
        <x:v>Not Started</x:v>
      </x:c>
      <x:c r="K6" s="86" t="str"/>
      <x:c r="L6" s="62" t="str">
        <x:v>No</x:v>
      </x:c>
      <x:c r="M6" s="62" t="str"/>
      <x:c r="N6" s="33" t="str">
        <x:f>IF(OR(D6="",E6="Not scored",G6="Not scored"),"Incomplete",IF(AND(D6&gt;=70%,E6="Pass",G6="Pass"),"Mastered",IF(AND(K6&gt;=70%,L6="Yes",G6="Pass"),"Mastered after reassessment","Remediate")))</x:f>
        <x:v>Incomplete</x:v>
      </x:c>
      <x:c r="O6" s="33" t="str">
        <x:f>IF(N6="Mastered","Spaced review",IF(N6="Mastered after reassessment","Retain evidence and spaced review",IF(N6="Remediate","Complete targeted activity and reassess","Complete missing scores or practicals")))</x:f>
        <x:v>Complete missing scores or practicals</x:v>
      </x:c>
      <x:c r="P6" s="66" t="str"/>
    </x:row>
    <x:row r="7" ht="58" customHeight="1">
      <x:c r="A7" s="35" t="n">
        <x:v>2</x:v>
      </x:c>
      <x:c r="B7" s="36" t="str">
        <x:v>Tokens, context windows, inference, temperature, top-k, and top-p</x:v>
      </x:c>
      <x:c r="C7" s="81" t="str">
        <x:f>IF(COUNTIFS('Topic Mastery Checks'!$B$6:$B$25,A7,'Topic Mastery Checks'!$N$6:$N$25,"&lt;&gt;Not scored")&lt;2,"",SUMIF('Topic Mastery Checks'!$B$6:$B$25,A7,'Topic Mastery Checks'!$K$6:$K$25)/SUMIF('Topic Mastery Checks'!$B$6:$B$25,A7,'Topic Mastery Checks'!$L$6:$L$25))</x:f>
      </x:c>
      <x:c r="D7" s="81" t="str">
        <x:f>IF(COUNTIFS('Exit Assessment'!$B$6:$B$35,A7,'Exit Assessment'!$N$6:$N$35,"&lt;&gt;Not scored")&lt;3,"",SUMIF('Exit Assessment'!$B$6:$B$35,A7,'Exit Assessment'!$K$6:$K$35)/SUMIF('Exit Assessment'!$B$6:$B$35,A7,'Exit Assessment'!$L$6:$L$35))</x:f>
      </x:c>
      <x:c r="E7" s="36" t="str">
        <x:f>'Exit Assessment'!N11</x:f>
        <x:v>Not scored</x:v>
      </x:c>
      <x:c r="F7" s="36" t="str">
        <x:v>P01</x:v>
      </x:c>
      <x:c r="G7" s="36" t="str">
        <x:f>'Practical Exercises'!M6</x:f>
        <x:v>Not scored</x:v>
      </x:c>
      <x:c r="H7" s="36" t="str">
        <x:v>Causal / Conceptual</x:v>
      </x:c>
      <x:c r="I7" s="36" t="str">
        <x:v>Worked token budgets and controlled inference-parameter demonstrations. Run the same prompt with controlled parameter changes and record consistency, length, and failure behavior.</x:v>
      </x:c>
      <x:c r="J7" s="63" t="str">
        <x:v>Not Started</x:v>
      </x:c>
      <x:c r="K7" s="87" t="str"/>
      <x:c r="L7" s="63" t="str">
        <x:v>No</x:v>
      </x:c>
      <x:c r="M7" s="63" t="str"/>
      <x:c r="N7" s="36" t="str">
        <x:f>IF(OR(D7="",E7="Not scored",G7="Not scored"),"Incomplete",IF(AND(D7&gt;=70%,E7="Pass",G7="Pass"),"Mastered",IF(AND(K7&gt;=70%,L7="Yes",G7="Pass"),"Mastered after reassessment","Remediate")))</x:f>
        <x:v>Incomplete</x:v>
      </x:c>
      <x:c r="O7" s="36" t="str">
        <x:f>IF(N7="Mastered","Spaced review",IF(N7="Mastered after reassessment","Retain evidence and spaced review",IF(N7="Remediate","Complete targeted activity and reassess","Complete missing scores or practicals")))</x:f>
        <x:v>Complete missing scores or practicals</x:v>
      </x:c>
      <x:c r="P7" s="67" t="str"/>
    </x:row>
    <x:row r="8" ht="58" customHeight="1">
      <x:c r="A8" s="35" t="n">
        <x:v>3</x:v>
      </x:c>
      <x:c r="B8" s="36" t="str">
        <x:v>AWS GenAI service landscape: Bedrock, SageMaker AI, Lambda, API Gateway, Step Functions, SQS, EventBridge, S3, DynamoDB, OpenSearch, CloudWatch, X-Ray, IAM</x:v>
      </x:c>
      <x:c r="C8" s="81" t="str">
        <x:f>IF(COUNTIFS('Topic Mastery Checks'!$B$6:$B$25,A8,'Topic Mastery Checks'!$N$6:$N$25,"&lt;&gt;Not scored")&lt;2,"",SUMIF('Topic Mastery Checks'!$B$6:$B$25,A8,'Topic Mastery Checks'!$K$6:$K$25)/SUMIF('Topic Mastery Checks'!$B$6:$B$25,A8,'Topic Mastery Checks'!$L$6:$L$25))</x:f>
      </x:c>
      <x:c r="D8" s="81" t="str">
        <x:f>IF(COUNTIFS('Exit Assessment'!$B$6:$B$35,A8,'Exit Assessment'!$N$6:$N$35,"&lt;&gt;Not scored")&lt;3,"",SUMIF('Exit Assessment'!$B$6:$B$35,A8,'Exit Assessment'!$K$6:$K$35)/SUMIF('Exit Assessment'!$B$6:$B$35,A8,'Exit Assessment'!$L$6:$L$35))</x:f>
      </x:c>
      <x:c r="E8" s="36" t="str">
        <x:f>'Exit Assessment'!N14</x:f>
        <x:v>Not scored</x:v>
      </x:c>
      <x:c r="F8" s="36" t="str">
        <x:v>P02</x:v>
      </x:c>
      <x:c r="G8" s="36" t="str">
        <x:f>'Practical Exercises'!M7</x:f>
        <x:v>Not scored</x:v>
      </x:c>
      <x:c r="H8" s="36" t="str">
        <x:v>Embedded / Conceptual</x:v>
      </x:c>
      <x:c r="I8" s="36" t="str">
        <x:v>AWS request-flow service map and use-case matching. Build two service maps: a minimal serverless architecture and an enterprise-controlled variant.</x:v>
      </x:c>
      <x:c r="J8" s="63" t="str">
        <x:v>Not Started</x:v>
      </x:c>
      <x:c r="K8" s="87" t="str"/>
      <x:c r="L8" s="63" t="str">
        <x:v>No</x:v>
      </x:c>
      <x:c r="M8" s="63" t="str"/>
      <x:c r="N8" s="36" t="str">
        <x:f>IF(OR(D8="",E8="Not scored",G8="Not scored"),"Incomplete",IF(AND(D8&gt;=70%,E8="Pass",G8="Pass"),"Mastered",IF(AND(K8&gt;=70%,L8="Yes",G8="Pass"),"Mastered after reassessment","Remediate")))</x:f>
        <x:v>Incomplete</x:v>
      </x:c>
      <x:c r="O8" s="36" t="str">
        <x:f>IF(N8="Mastered","Spaced review",IF(N8="Mastered after reassessment","Retain evidence and spaced review",IF(N8="Remediate","Complete targeted activity and reassess","Complete missing scores or practicals")))</x:f>
        <x:v>Complete missing scores or practicals</x:v>
      </x:c>
      <x:c r="P8" s="67" t="str"/>
    </x:row>
    <x:row r="9" ht="58" customHeight="1">
      <x:c r="A9" s="35" t="n">
        <x:v>4</x:v>
      </x:c>
      <x:c r="B9" s="36" t="str">
        <x:v>API, event-driven, serverless, container, and workflow fundamentals</x:v>
      </x:c>
      <x:c r="C9" s="81" t="str">
        <x:f>IF(COUNTIFS('Topic Mastery Checks'!$B$6:$B$25,A9,'Topic Mastery Checks'!$N$6:$N$25,"&lt;&gt;Not scored")&lt;2,"",SUMIF('Topic Mastery Checks'!$B$6:$B$25,A9,'Topic Mastery Checks'!$K$6:$K$25)/SUMIF('Topic Mastery Checks'!$B$6:$B$25,A9,'Topic Mastery Checks'!$L$6:$L$25))</x:f>
      </x:c>
      <x:c r="D9" s="81" t="str">
        <x:f>IF(COUNTIFS('Exit Assessment'!$B$6:$B$35,A9,'Exit Assessment'!$N$6:$N$35,"&lt;&gt;Not scored")&lt;3,"",SUMIF('Exit Assessment'!$B$6:$B$35,A9,'Exit Assessment'!$K$6:$K$35)/SUMIF('Exit Assessment'!$B$6:$B$35,A9,'Exit Assessment'!$L$6:$L$35))</x:f>
      </x:c>
      <x:c r="E9" s="36" t="str">
        <x:f>'Exit Assessment'!N17</x:f>
        <x:v>Not scored</x:v>
      </x:c>
      <x:c r="F9" s="36" t="str">
        <x:v>P02</x:v>
      </x:c>
      <x:c r="G9" s="36" t="str">
        <x:f>'Practical Exercises'!M7</x:f>
        <x:v>Not scored</x:v>
      </x:c>
      <x:c r="H9" s="36" t="str">
        <x:v>Conditional</x:v>
      </x:c>
      <x:c r="I9" s="36" t="str">
        <x:v>Contrasting architecture patterns using short workload cards. Choose and defend an interaction pattern for six workloads with different latency and duration needs.</x:v>
      </x:c>
      <x:c r="J9" s="63" t="str">
        <x:v>Not Started</x:v>
      </x:c>
      <x:c r="K9" s="87" t="str"/>
      <x:c r="L9" s="63" t="str">
        <x:v>No</x:v>
      </x:c>
      <x:c r="M9" s="63" t="str"/>
      <x:c r="N9" s="36" t="str">
        <x:f>IF(OR(D9="",E9="Not scored",G9="Not scored"),"Incomplete",IF(AND(D9&gt;=70%,E9="Pass",G9="Pass"),"Mastered",IF(AND(K9&gt;=70%,L9="Yes",G9="Pass"),"Mastered after reassessment","Remediate")))</x:f>
        <x:v>Incomplete</x:v>
      </x:c>
      <x:c r="O9" s="36" t="str">
        <x:f>IF(N9="Mastered","Spaced review",IF(N9="Mastered after reassessment","Retain evidence and spaced review",IF(N9="Remediate","Complete targeted activity and reassess","Complete missing scores or practicals")))</x:f>
        <x:v>Complete missing scores or practicals</x:v>
      </x:c>
      <x:c r="P9" s="67" t="str"/>
    </x:row>
    <x:row r="10" ht="58" customHeight="1">
      <x:c r="A10" s="35" t="n">
        <x:v>5</x:v>
      </x:c>
      <x:c r="B10" s="36" t="str">
        <x:v>IAM, trust boundaries, least privilege, networking, and data-protection fundamentals</x:v>
      </x:c>
      <x:c r="C10" s="81" t="str">
        <x:f>IF(COUNTIFS('Topic Mastery Checks'!$B$6:$B$25,A10,'Topic Mastery Checks'!$N$6:$N$25,"&lt;&gt;Not scored")&lt;2,"",SUMIF('Topic Mastery Checks'!$B$6:$B$25,A10,'Topic Mastery Checks'!$K$6:$K$25)/SUMIF('Topic Mastery Checks'!$B$6:$B$25,A10,'Topic Mastery Checks'!$L$6:$L$25))</x:f>
      </x:c>
      <x:c r="D10" s="81" t="str">
        <x:f>IF(COUNTIFS('Exit Assessment'!$B$6:$B$35,A10,'Exit Assessment'!$N$6:$N$35,"&lt;&gt;Not scored")&lt;3,"",SUMIF('Exit Assessment'!$B$6:$B$35,A10,'Exit Assessment'!$K$6:$K$35)/SUMIF('Exit Assessment'!$B$6:$B$35,A10,'Exit Assessment'!$L$6:$L$35))</x:f>
      </x:c>
      <x:c r="E10" s="36" t="str">
        <x:f>'Exit Assessment'!N20</x:f>
        <x:v>Not scored</x:v>
      </x:c>
      <x:c r="F10" s="36" t="str">
        <x:v>P03</x:v>
      </x:c>
      <x:c r="G10" s="36" t="str">
        <x:f>'Practical Exercises'!M8</x:f>
        <x:v>Not scored</x:v>
      </x:c>
      <x:c r="H10" s="36" t="str">
        <x:v>Normative / Strategic</x:v>
      </x:c>
      <x:c r="I10" s="36" t="str">
        <x:v>Trust-boundary diagram, IAM permission matrix, and denied-path analysis. Design a workload role, resource permissions, and two explicit denied tests.</x:v>
      </x:c>
      <x:c r="J10" s="63" t="str">
        <x:v>Not Started</x:v>
      </x:c>
      <x:c r="K10" s="87" t="str"/>
      <x:c r="L10" s="63" t="str">
        <x:v>No</x:v>
      </x:c>
      <x:c r="M10" s="63" t="str"/>
      <x:c r="N10" s="36" t="str">
        <x:f>IF(OR(D10="",E10="Not scored",G10="Not scored"),"Incomplete",IF(AND(D10&gt;=70%,E10="Pass",G10="Pass"),"Mastered",IF(AND(K10&gt;=70%,L10="Yes",G10="Pass"),"Mastered after reassessment","Remediate")))</x:f>
        <x:v>Incomplete</x:v>
      </x:c>
      <x:c r="O10" s="36" t="str">
        <x:f>IF(N10="Mastered","Spaced review",IF(N10="Mastered after reassessment","Retain evidence and spaced review",IF(N10="Remediate","Complete targeted activity and reassess","Complete missing scores or practicals")))</x:f>
        <x:v>Complete missing scores or practicals</x:v>
      </x:c>
      <x:c r="P10" s="67" t="str"/>
    </x:row>
    <x:row r="11" ht="58" customHeight="1">
      <x:c r="A11" s="35" t="n">
        <x:v>6</x:v>
      </x:c>
      <x:c r="B11" s="36" t="str">
        <x:v>GenAI requirements analysis and basic solution architecture</x:v>
      </x:c>
      <x:c r="C11" s="81" t="str">
        <x:f>IF(COUNTIFS('Topic Mastery Checks'!$B$6:$B$25,A11,'Topic Mastery Checks'!$N$6:$N$25,"&lt;&gt;Not scored")&lt;2,"",SUMIF('Topic Mastery Checks'!$B$6:$B$25,A11,'Topic Mastery Checks'!$K$6:$K$25)/SUMIF('Topic Mastery Checks'!$B$6:$B$25,A11,'Topic Mastery Checks'!$L$6:$L$25))</x:f>
      </x:c>
      <x:c r="D11" s="81" t="str">
        <x:f>IF(COUNTIFS('Exit Assessment'!$B$6:$B$35,A11,'Exit Assessment'!$N$6:$N$35,"&lt;&gt;Not scored")&lt;3,"",SUMIF('Exit Assessment'!$B$6:$B$35,A11,'Exit Assessment'!$K$6:$K$35)/SUMIF('Exit Assessment'!$B$6:$B$35,A11,'Exit Assessment'!$L$6:$L$35))</x:f>
      </x:c>
      <x:c r="E11" s="36" t="str">
        <x:f>'Exit Assessment'!N23</x:f>
        <x:v>Not scored</x:v>
      </x:c>
      <x:c r="F11" s="36" t="str">
        <x:v>P02, P03</x:v>
      </x:c>
      <x:c r="G11" s="36" t="str">
        <x:f>IF(AND('Practical Exercises'!M7="Pass",'Practical Exercises'!M8="Pass"),"Pass",IF(OR('Practical Exercises'!L7="",'Practical Exercises'!L8=""),"Not scored","Gap"))</x:f>
        <x:v>Not scored</x:v>
      </x:c>
      <x:c r="H11" s="36" t="str">
        <x:v>Strategic</x:v>
      </x:c>
      <x:c r="I11" s="36" t="str">
        <x:v>Requirements workshop followed by architecture sketch and ADR. Convert a vague assistant request into measurable acceptance criteria and architecture choices.</x:v>
      </x:c>
      <x:c r="J11" s="63" t="str">
        <x:v>Not Started</x:v>
      </x:c>
      <x:c r="K11" s="87" t="str"/>
      <x:c r="L11" s="63" t="str">
        <x:v>No</x:v>
      </x:c>
      <x:c r="M11" s="63" t="str"/>
      <x:c r="N11" s="36" t="str">
        <x:f>IF(OR(D11="",E11="Not scored",G11="Not scored"),"Incomplete",IF(AND(D11&gt;=70%,E11="Pass",G11="Pass"),"Mastered",IF(AND(K11&gt;=70%,L11="Yes",G11="Pass"),"Mastered after reassessment","Remediate")))</x:f>
        <x:v>Incomplete</x:v>
      </x:c>
      <x:c r="O11" s="36" t="str">
        <x:f>IF(N11="Mastered","Spaced review",IF(N11="Mastered after reassessment","Retain evidence and spaced review",IF(N11="Remediate","Complete targeted activity and reassess","Complete missing scores or practicals")))</x:f>
        <x:v>Complete missing scores or practicals</x:v>
      </x:c>
      <x:c r="P11" s="67" t="str"/>
    </x:row>
    <x:row r="12" ht="58" customHeight="1">
      <x:c r="A12" s="35" t="n">
        <x:v>7</x:v>
      </x:c>
      <x:c r="B12" s="36" t="str">
        <x:v>Foundation-model capabilities, limitations, and basic model selection</x:v>
      </x:c>
      <x:c r="C12" s="81" t="str">
        <x:f>IF(COUNTIFS('Topic Mastery Checks'!$B$6:$B$25,A12,'Topic Mastery Checks'!$N$6:$N$25,"&lt;&gt;Not scored")&lt;2,"",SUMIF('Topic Mastery Checks'!$B$6:$B$25,A12,'Topic Mastery Checks'!$K$6:$K$25)/SUMIF('Topic Mastery Checks'!$B$6:$B$25,A12,'Topic Mastery Checks'!$L$6:$L$25))</x:f>
      </x:c>
      <x:c r="D12" s="81" t="str">
        <x:f>IF(COUNTIFS('Exit Assessment'!$B$6:$B$35,A12,'Exit Assessment'!$N$6:$N$35,"&lt;&gt;Not scored")&lt;3,"",SUMIF('Exit Assessment'!$B$6:$B$35,A12,'Exit Assessment'!$K$6:$K$35)/SUMIF('Exit Assessment'!$B$6:$B$35,A12,'Exit Assessment'!$L$6:$L$35))</x:f>
      </x:c>
      <x:c r="E12" s="36" t="str">
        <x:f>'Exit Assessment'!N26</x:f>
        <x:v>Not scored</x:v>
      </x:c>
      <x:c r="F12" s="36" t="str">
        <x:v>P01, P04</x:v>
      </x:c>
      <x:c r="G12" s="36" t="str">
        <x:f>IF(AND('Practical Exercises'!M6="Pass",'Practical Exercises'!M9="Pass"),"Pass",IF(OR('Practical Exercises'!L6="",'Practical Exercises'!L9=""),"Not scored","Gap"))</x:f>
        <x:v>Not scored</x:v>
      </x:c>
      <x:c r="H12" s="36" t="str">
        <x:v>Conditional / Strategic</x:v>
      </x:c>
      <x:c r="I12" s="36" t="str">
        <x:v>Model comparison matrix using weighted workload criteria. Rank three candidate models and perform sensitivity analysis on the weights.</x:v>
      </x:c>
      <x:c r="J12" s="63" t="str">
        <x:v>Not Started</x:v>
      </x:c>
      <x:c r="K12" s="87" t="str"/>
      <x:c r="L12" s="63" t="str">
        <x:v>No</x:v>
      </x:c>
      <x:c r="M12" s="63" t="str"/>
      <x:c r="N12" s="36" t="str">
        <x:f>IF(OR(D12="",E12="Not scored",G12="Not scored"),"Incomplete",IF(AND(D12&gt;=70%,E12="Pass",G12="Pass"),"Mastered",IF(AND(K12&gt;=70%,L12="Yes",G12="Pass"),"Mastered after reassessment","Remediate")))</x:f>
        <x:v>Incomplete</x:v>
      </x:c>
      <x:c r="O12" s="36" t="str">
        <x:f>IF(N12="Mastered","Spaced review",IF(N12="Mastered after reassessment","Retain evidence and spaced review",IF(N12="Remediate","Complete targeted activity and reassess","Complete missing scores or practicals")))</x:f>
        <x:v>Complete missing scores or practicals</x:v>
      </x:c>
      <x:c r="P12" s="67" t="str"/>
    </x:row>
    <x:row r="13" ht="58" customHeight="1">
      <x:c r="A13" s="35" t="n">
        <x:v>8</x:v>
      </x:c>
      <x:c r="B13" s="36" t="str">
        <x:v>Basic Amazon Bedrock model invocation</x:v>
      </x:c>
      <x:c r="C13" s="81" t="str">
        <x:f>IF(COUNTIFS('Topic Mastery Checks'!$B$6:$B$25,A13,'Topic Mastery Checks'!$N$6:$N$25,"&lt;&gt;Not scored")&lt;2,"",SUMIF('Topic Mastery Checks'!$B$6:$B$25,A13,'Topic Mastery Checks'!$K$6:$K$25)/SUMIF('Topic Mastery Checks'!$B$6:$B$25,A13,'Topic Mastery Checks'!$L$6:$L$25))</x:f>
      </x:c>
      <x:c r="D13" s="81" t="str">
        <x:f>IF(COUNTIFS('Exit Assessment'!$B$6:$B$35,A13,'Exit Assessment'!$N$6:$N$35,"&lt;&gt;Not scored")&lt;3,"",SUMIF('Exit Assessment'!$B$6:$B$35,A13,'Exit Assessment'!$K$6:$K$35)/SUMIF('Exit Assessment'!$B$6:$B$35,A13,'Exit Assessment'!$L$6:$L$35))</x:f>
      </x:c>
      <x:c r="E13" s="36" t="str">
        <x:f>'Exit Assessment'!N29</x:f>
        <x:v>Not scored</x:v>
      </x:c>
      <x:c r="F13" s="36" t="str">
        <x:v>P04</x:v>
      </x:c>
      <x:c r="G13" s="36" t="str">
        <x:f>'Practical Exercises'!M9</x:f>
        <x:v>Not scored</x:v>
      </x:c>
      <x:c r="H13" s="36" t="str">
        <x:v>Procedural / Embedded</x:v>
      </x:c>
      <x:c r="I13" s="36" t="str">
        <x:v>Guided Bedrock quickstart followed by independent reproduction. Invoke a model, parse output, then troubleshoot an injected AccessDenied or throttling condition.</x:v>
      </x:c>
      <x:c r="J13" s="63" t="str">
        <x:v>Not Started</x:v>
      </x:c>
      <x:c r="K13" s="87" t="str"/>
      <x:c r="L13" s="63" t="str">
        <x:v>No</x:v>
      </x:c>
      <x:c r="M13" s="63" t="str"/>
      <x:c r="N13" s="36" t="str">
        <x:f>IF(OR(D13="",E13="Not scored",G13="Not scored"),"Incomplete",IF(AND(D13&gt;=70%,E13="Pass",G13="Pass"),"Mastered",IF(AND(K13&gt;=70%,L13="Yes",G13="Pass"),"Mastered after reassessment","Remediate")))</x:f>
        <x:v>Incomplete</x:v>
      </x:c>
      <x:c r="O13" s="36" t="str">
        <x:f>IF(N13="Mastered","Spaced review",IF(N13="Mastered after reassessment","Retain evidence and spaced review",IF(N13="Remediate","Complete targeted activity and reassess","Complete missing scores or practicals")))</x:f>
        <x:v>Complete missing scores or practicals</x:v>
      </x:c>
      <x:c r="P13" s="67" t="str"/>
    </x:row>
    <x:row r="14" ht="58" customHeight="1">
      <x:c r="A14" s="35" t="n">
        <x:v>9</x:v>
      </x:c>
      <x:c r="B14" s="36" t="str">
        <x:v>Prompt fundamentals, instructions, templates, and structured outputs</x:v>
      </x:c>
      <x:c r="C14" s="81" t="str">
        <x:f>IF(COUNTIFS('Topic Mastery Checks'!$B$6:$B$25,A14,'Topic Mastery Checks'!$N$6:$N$25,"&lt;&gt;Not scored")&lt;2,"",SUMIF('Topic Mastery Checks'!$B$6:$B$25,A14,'Topic Mastery Checks'!$K$6:$K$25)/SUMIF('Topic Mastery Checks'!$B$6:$B$25,A14,'Topic Mastery Checks'!$L$6:$L$25))</x:f>
      </x:c>
      <x:c r="D14" s="81" t="str">
        <x:f>IF(COUNTIFS('Exit Assessment'!$B$6:$B$35,A14,'Exit Assessment'!$N$6:$N$35,"&lt;&gt;Not scored")&lt;3,"",SUMIF('Exit Assessment'!$B$6:$B$35,A14,'Exit Assessment'!$K$6:$K$35)/SUMIF('Exit Assessment'!$B$6:$B$35,A14,'Exit Assessment'!$L$6:$L$35))</x:f>
      </x:c>
      <x:c r="E14" s="36" t="str">
        <x:f>'Exit Assessment'!N32</x:f>
        <x:v>Not scored</x:v>
      </x:c>
      <x:c r="F14" s="36" t="str">
        <x:v>P05</x:v>
      </x:c>
      <x:c r="G14" s="36" t="str">
        <x:f>'Practical Exercises'!M10</x:f>
        <x:v>Not scored</x:v>
      </x:c>
      <x:c r="H14" s="36" t="str">
        <x:v>Procedural / Causal</x:v>
      </x:c>
      <x:c r="I14" s="36" t="str">
        <x:v>Prompt teardown, template construction, schema validation, and regression iteration. Transform an ad hoc prompt into a versioned extraction template and validate five edge cases.</x:v>
      </x:c>
      <x:c r="J14" s="63" t="str">
        <x:v>Not Started</x:v>
      </x:c>
      <x:c r="K14" s="87" t="str"/>
      <x:c r="L14" s="63" t="str">
        <x:v>No</x:v>
      </x:c>
      <x:c r="M14" s="63" t="str"/>
      <x:c r="N14" s="36" t="str">
        <x:f>IF(OR(D14="",E14="Not scored",G14="Not scored"),"Incomplete",IF(AND(D14&gt;=70%,E14="Pass",G14="Pass"),"Mastered",IF(AND(K14&gt;=70%,L14="Yes",G14="Pass"),"Mastered after reassessment","Remediate")))</x:f>
        <x:v>Incomplete</x:v>
      </x:c>
      <x:c r="O14" s="36" t="str">
        <x:f>IF(N14="Mastered","Spaced review",IF(N14="Mastered after reassessment","Retain evidence and spaced review",IF(N14="Remediate","Complete targeted activity and reassess","Complete missing scores or practicals")))</x:f>
        <x:v>Complete missing scores or practicals</x:v>
      </x:c>
      <x:c r="P14" s="67" t="str"/>
    </x:row>
    <x:row r="15" ht="58" customHeight="1">
      <x:c r="A15" s="38" t="n">
        <x:v>10</x:v>
      </x:c>
      <x:c r="B15" s="39" t="str">
        <x:v>Basic GenAI evaluation concepts and golden datasets</x:v>
      </x:c>
      <x:c r="C15" s="82" t="str">
        <x:f>IF(COUNTIFS('Topic Mastery Checks'!$B$6:$B$25,A15,'Topic Mastery Checks'!$N$6:$N$25,"&lt;&gt;Not scored")&lt;2,"",SUMIF('Topic Mastery Checks'!$B$6:$B$25,A15,'Topic Mastery Checks'!$K$6:$K$25)/SUMIF('Topic Mastery Checks'!$B$6:$B$25,A15,'Topic Mastery Checks'!$L$6:$L$25))</x:f>
      </x:c>
      <x:c r="D15" s="82" t="str">
        <x:f>IF(COUNTIFS('Exit Assessment'!$B$6:$B$35,A15,'Exit Assessment'!$N$6:$N$35,"&lt;&gt;Not scored")&lt;3,"",SUMIF('Exit Assessment'!$B$6:$B$35,A15,'Exit Assessment'!$K$6:$K$35)/SUMIF('Exit Assessment'!$B$6:$B$35,A15,'Exit Assessment'!$L$6:$L$35))</x:f>
      </x:c>
      <x:c r="E15" s="39" t="str">
        <x:f>'Exit Assessment'!N35</x:f>
        <x:v>Not scored</x:v>
      </x:c>
      <x:c r="F15" s="39" t="str">
        <x:v>P06</x:v>
      </x:c>
      <x:c r="G15" s="39" t="str">
        <x:f>'Practical Exercises'!M11</x:f>
        <x:v>Not scored</x:v>
      </x:c>
      <x:c r="H15" s="39" t="str">
        <x:v>Procedural / Strategic</x:v>
      </x:c>
      <x:c r="I15" s="39" t="str">
        <x:v>Golden-dataset construction, scoring rubric design, error analysis, and release review. Compare two prompt/model variants on a 15-case set and write a release recommendation.</x:v>
      </x:c>
      <x:c r="J15" s="72" t="str">
        <x:v>Not Started</x:v>
      </x:c>
      <x:c r="K15" s="88" t="str"/>
      <x:c r="L15" s="72" t="str">
        <x:v>No</x:v>
      </x:c>
      <x:c r="M15" s="72" t="str"/>
      <x:c r="N15" s="39" t="str">
        <x:f>IF(OR(D15="",E15="Not scored",G15="Not scored"),"Incomplete",IF(AND(D15&gt;=70%,E15="Pass",G15="Pass"),"Mastered",IF(AND(K15&gt;=70%,L15="Yes",G15="Pass"),"Mastered after reassessment","Remediate")))</x:f>
        <x:v>Incomplete</x:v>
      </x:c>
      <x:c r="O15" s="39" t="str">
        <x:f>IF(N15="Mastered","Spaced review",IF(N15="Mastered after reassessment","Retain evidence and spaced review",IF(N15="Remediate","Complete targeted activity and reassess","Complete missing scores or practicals")))</x:f>
        <x:v>Complete missing scores or practicals</x:v>
      </x:c>
      <x:c r="P15" s="68" t="str"/>
    </x:row>
  </x:sheetData>
  <x:mergeCells>
    <x:mergeCell ref="A1:P1"/>
    <x:mergeCell ref="A2:P3"/>
  </x:mergeCells>
  <x:conditionalFormatting sqref="N6:N15">
    <x:cfRule type="expression" dxfId="10" priority="1">
      <x:formula>N6="Mastered"</x:formula>
    </x:cfRule>
    <x:cfRule type="expression" dxfId="11" priority="2">
      <x:formula>N6="Mastered after reassessment"</x:formula>
    </x:cfRule>
    <x:cfRule type="expression" dxfId="12" priority="3">
      <x:formula>N6="Remediate"</x:formula>
    </x:cfRule>
  </x:conditionalFormatting>
  <x:dataValidations count="3">
    <x:dataValidation type="list" sqref="J6:J15">
      <x:formula1>"Not Started,In Progress,Ready for Reassessment,Completed"</x:formula1>
    </x:dataValidation>
    <x:dataValidation type="list" sqref="L6:L15">
      <x:formula1>"No,Yes"</x:formula1>
    </x:dataValidation>
    <x:dataValidation type="list" sqref="K6:K15">
      <x:formula1>"0,0.1,0.2,0.3,0.4,0.5,0.6,0.7,0.8,0.9,1"</x:formula1>
    </x:dataValidation>
  </x:dataValidations>
  <x:pageMargins left="0.7" right="0.7" top="0.75" bottom="0.75" header="0.3" footer="0.3"/>
  <x:tableParts count="1">
    <x:tablePart xmlns:r="http://schemas.openxmlformats.org/officeDocument/2006/relationships" r:id="R004ca79e2e4948df"/>
  </x:tableParts>
</x:worksheet>
</file>

<file path=xl/worksheets/sheet8.xml><?xml version="1.0" encoding="utf-8"?>
<x:worksheet xmlns:x="http://schemas.openxmlformats.org/spreadsheetml/2006/main">
  <x:sheetFormatPr defaultRowHeight="15"/>
  <x:cols>
    <x:col min="1" max="1" width="30" hidden="0" customWidth="1"/>
    <x:col min="2" max="2" width="18" hidden="0" customWidth="1"/>
    <x:col min="3" max="3" width="17" hidden="0" customWidth="1"/>
    <x:col min="4" max="4" width="16" hidden="0" customWidth="1"/>
    <x:col min="5" max="5" width="3" hidden="0" customWidth="1"/>
    <x:col min="6" max="6" width="8" hidden="0" customWidth="1"/>
    <x:col min="7" max="7" width="42" hidden="0" customWidth="1"/>
    <x:col min="8" max="8" width="14" hidden="0" customWidth="1"/>
    <x:col min="9" max="9" width="16" hidden="0" customWidth="1"/>
    <x:col min="10" max="10" width="25" hidden="0" customWidth="1"/>
    <x:col min="11" max="11" width="3" hidden="0" customWidth="1"/>
    <x:col min="12" max="12" width="3" hidden="0" customWidth="1"/>
    <x:col min="13" max="13" width="3" hidden="0" customWidth="1"/>
  </x:cols>
  <x:sheetData>
    <x:row r="1" ht="30" customHeight="1">
      <x:c r="A1" s="5" t="str">
        <x:v>Layer 0 Progression Decision</x:v>
      </x:c>
      <x:c r="B1" s="5"/>
      <x:c r="C1" s="5"/>
      <x:c r="D1" s="5"/>
      <x:c r="E1" s="5"/>
      <x:c r="F1" s="5"/>
      <x:c r="G1" s="5"/>
      <x:c r="H1" s="5"/>
      <x:c r="I1" s="5"/>
      <x:c r="J1" s="5"/>
      <x:c r="K1" s="5"/>
      <x:c r="L1" s="5"/>
      <x:c r="M1" s="5"/>
    </x:row>
    <x:row r="2" ht="36" customHeight="1">
      <x:c r="A2" s="13" t="str">
        <x:v>Layer 0 contains foundational hard gates. There is no automatic conditional pass. Progress to Layer 1 only when the exit assessment and all practical evidence meet the criteria below.</x:v>
      </x:c>
      <x:c r="B2" s="13"/>
      <x:c r="C2" s="13"/>
      <x:c r="D2" s="13"/>
      <x:c r="E2" s="13"/>
      <x:c r="F2" s="13"/>
      <x:c r="G2" s="13"/>
      <x:c r="H2" s="13"/>
      <x:c r="I2" s="13"/>
      <x:c r="J2" s="13"/>
      <x:c r="K2" s="13"/>
      <x:c r="L2" s="13"/>
      <x:c r="M2" s="13"/>
    </x:row>
    <x:row r="3" ht="36" customHeight="1">
      <x:c r="A3" s="13"/>
      <x:c r="B3" s="13"/>
      <x:c r="C3" s="13"/>
      <x:c r="D3" s="13"/>
      <x:c r="E3" s="13"/>
      <x:c r="F3" s="13"/>
      <x:c r="G3" s="13"/>
      <x:c r="H3" s="13"/>
      <x:c r="I3" s="13"/>
      <x:c r="J3" s="13"/>
      <x:c r="K3" s="13"/>
      <x:c r="L3" s="13"/>
      <x:c r="M3" s="13"/>
    </x:row>
    <x:row r="5">
      <x:c r="A5" s="22" t="str">
        <x:v>Gate</x:v>
      </x:c>
      <x:c r="B5" s="22" t="str">
        <x:v>Required</x:v>
      </x:c>
      <x:c r="C5" s="22" t="str">
        <x:v>Actual</x:v>
      </x:c>
      <x:c r="D5" s="22" t="str">
        <x:v>Status</x:v>
      </x:c>
      <x:c r="F5" s="22" t="str">
        <x:v>Topic</x:v>
      </x:c>
      <x:c r="G5" s="22" t="str">
        <x:v>Topic Name</x:v>
      </x:c>
      <x:c r="H5" s="22" t="str">
        <x:v>Exit Score %</x:v>
      </x:c>
      <x:c r="I5" s="22" t="str">
        <x:v>Task Result</x:v>
      </x:c>
      <x:c r="J5" s="22" t="str">
        <x:v>Topic Status</x:v>
      </x:c>
    </x:row>
    <x:row r="6">
      <x:c r="A6" s="192" t="str">
        <x:v>Exit items scored</x:v>
      </x:c>
      <x:c r="B6" s="193" t="str">
        <x:v>30 items</x:v>
      </x:c>
      <x:c r="C6" s="193" t="n">
        <x:f>COUNT('Exit Assessment'!$K$6:$K$35)</x:f>
        <x:v>0</x:v>
      </x:c>
      <x:c r="D6" s="195" t="str">
        <x:f>IF(C6=30,"Pass",IF(C6=0,"Not started","Incomplete"))</x:f>
        <x:v>Not started</x:v>
      </x:c>
      <x:c r="F6" s="192" t="n">
        <x:v>1</x:v>
      </x:c>
      <x:c r="G6" s="193" t="str">
        <x:v>Foundation models and GenAI fundamentals</x:v>
      </x:c>
      <x:c r="H6" s="194" t="str">
        <x:f>'Remediation'!D6</x:f>
      </x:c>
      <x:c r="I6" s="193" t="str">
        <x:f>'Remediation'!E6</x:f>
        <x:v>Not scored</x:v>
      </x:c>
      <x:c r="J6" s="195" t="str">
        <x:f>'Remediation'!N6</x:f>
        <x:v>Incomplete</x:v>
      </x:c>
    </x:row>
    <x:row r="7">
      <x:c r="A7" s="196" t="str">
        <x:v>Overall exit score</x:v>
      </x:c>
      <x:c r="B7" s="197" t="str">
        <x:v>At least 80%</x:v>
      </x:c>
      <x:c r="C7" s="198" t="str">
        <x:f>IF(C6=0,"",SUM('Exit Assessment'!$K$6:$K$35)/SUM('Exit Assessment'!$L$6:$L$35))</x:f>
      </x:c>
      <x:c r="D7" s="199" t="str">
        <x:f>IF(C7="","Not started",IF(C7&gt;=80%,"Pass","Gap"))</x:f>
        <x:v>Not started</x:v>
      </x:c>
      <x:c r="F7" s="196" t="n">
        <x:v>2</x:v>
      </x:c>
      <x:c r="G7" s="197" t="str">
        <x:v>Tokens, context windows, inference, temperature, top-k, and top-p</x:v>
      </x:c>
      <x:c r="H7" s="198" t="str">
        <x:f>'Remediation'!D7</x:f>
      </x:c>
      <x:c r="I7" s="197" t="str">
        <x:f>'Remediation'!E7</x:f>
        <x:v>Not scored</x:v>
      </x:c>
      <x:c r="J7" s="199" t="str">
        <x:f>'Remediation'!N7</x:f>
        <x:v>Incomplete</x:v>
      </x:c>
    </x:row>
    <x:row r="8">
      <x:c r="A8" s="196" t="str">
        <x:v>Topics at 70% or higher</x:v>
      </x:c>
      <x:c r="B8" s="197" t="str">
        <x:v>10 of 10</x:v>
      </x:c>
      <x:c r="C8" s="197" t="n">
        <x:f>COUNTIF(H6:H15,"&gt;=70%")</x:f>
        <x:v>0</x:v>
      </x:c>
      <x:c r="D8" s="199" t="str">
        <x:f>IF(C6=0,"Not started",IF(C6&lt;30,"Incomplete",IF(C8=10,"Pass","Gap")))</x:f>
        <x:v>Not started</x:v>
      </x:c>
      <x:c r="F8" s="196" t="n">
        <x:v>3</x:v>
      </x:c>
      <x:c r="G8" s="197" t="str">
        <x:v>AWS GenAI service landscape: Bedrock, SageMaker AI, Lambda, API Gateway, Step Functions, SQS, EventBridge, S3, DynamoDB, OpenSearch, CloudWatch, X-Ray, IAM</x:v>
      </x:c>
      <x:c r="H8" s="198" t="str">
        <x:f>'Remediation'!D8</x:f>
      </x:c>
      <x:c r="I8" s="197" t="str">
        <x:f>'Remediation'!E8</x:f>
        <x:v>Not scored</x:v>
      </x:c>
      <x:c r="J8" s="199" t="str">
        <x:f>'Remediation'!N8</x:f>
        <x:v>Incomplete</x:v>
      </x:c>
    </x:row>
    <x:row r="9">
      <x:c r="A9" s="196" t="str">
        <x:v>Constructed exit tasks passed</x:v>
      </x:c>
      <x:c r="B9" s="197" t="str">
        <x:v>10 of 10</x:v>
      </x:c>
      <x:c r="C9" s="197" t="n">
        <x:f>COUNTIFS('Exit Assessment'!$D$6:$D$35,"Constructed Response",'Exit Assessment'!$N$6:$N$35,"Pass")</x:f>
        <x:v>0</x:v>
      </x:c>
      <x:c r="D9" s="199" t="str">
        <x:f>IF(C6=0,"Not started",IF(C6&lt;30,"Incomplete",IF(C9=10,"Pass","Gap")))</x:f>
        <x:v>Not started</x:v>
      </x:c>
      <x:c r="F9" s="196" t="n">
        <x:v>4</x:v>
      </x:c>
      <x:c r="G9" s="197" t="str">
        <x:v>API, event-driven, serverless, container, and workflow fundamentals</x:v>
      </x:c>
      <x:c r="H9" s="198" t="str">
        <x:f>'Remediation'!D9</x:f>
      </x:c>
      <x:c r="I9" s="197" t="str">
        <x:f>'Remediation'!E9</x:f>
        <x:v>Not scored</x:v>
      </x:c>
      <x:c r="J9" s="199" t="str">
        <x:f>'Remediation'!N9</x:f>
        <x:v>Incomplete</x:v>
      </x:c>
    </x:row>
    <x:row r="10">
      <x:c r="A10" s="196" t="str">
        <x:v>Required practicals passed</x:v>
      </x:c>
      <x:c r="B10" s="197" t="str">
        <x:v>6 of 6</x:v>
      </x:c>
      <x:c r="C10" s="197" t="n">
        <x:f>COUNTIF('Practical Exercises'!$M$6:$M$11,"Pass")</x:f>
        <x:v>0</x:v>
      </x:c>
      <x:c r="D10" s="199" t="str">
        <x:f>IF(COUNT('Practical Exercises'!$L$6:$L$11)=0,"Not started",IF(COUNT('Practical Exercises'!$L$6:$L$11)&lt;6,"Incomplete",IF(C10=6,"Pass","Gap")))</x:f>
        <x:v>Not started</x:v>
      </x:c>
      <x:c r="F10" s="196" t="n">
        <x:v>5</x:v>
      </x:c>
      <x:c r="G10" s="197" t="str">
        <x:v>IAM, trust boundaries, least privilege, networking, and data-protection fundamentals</x:v>
      </x:c>
      <x:c r="H10" s="198" t="str">
        <x:f>'Remediation'!D10</x:f>
      </x:c>
      <x:c r="I10" s="197" t="str">
        <x:f>'Remediation'!E10</x:f>
        <x:v>Not scored</x:v>
      </x:c>
      <x:c r="J10" s="199" t="str">
        <x:f>'Remediation'!N10</x:f>
        <x:v>Incomplete</x:v>
      </x:c>
    </x:row>
    <x:row r="11">
      <x:c r="A11" s="200" t="str">
        <x:v>Final topic statuses mastered</x:v>
      </x:c>
      <x:c r="B11" s="201" t="str">
        <x:v>10 of 10</x:v>
      </x:c>
      <x:c r="C11" s="201" t="n">
        <x:f>COUNTIF('Remediation'!$N$6:$N$15,"Mastered")+COUNTIF('Remediation'!$N$6:$N$15,"Mastered after reassessment")</x:f>
        <x:v>0</x:v>
      </x:c>
      <x:c r="D11" s="203" t="str">
        <x:f>IF(AND(C6=0,COUNT('Practical Exercises'!$L$6:$L$11)=0),"Not started",IF(OR(C6&lt;30,COUNT('Practical Exercises'!$L$6:$L$11)&lt;6),"Incomplete",IF(C11=10,"Pass","Gap")))</x:f>
        <x:v>Not started</x:v>
      </x:c>
      <x:c r="F11" s="196" t="n">
        <x:v>6</x:v>
      </x:c>
      <x:c r="G11" s="197" t="str">
        <x:v>GenAI requirements analysis and basic solution architecture</x:v>
      </x:c>
      <x:c r="H11" s="198" t="str">
        <x:f>'Remediation'!D11</x:f>
      </x:c>
      <x:c r="I11" s="197" t="str">
        <x:f>'Remediation'!E11</x:f>
        <x:v>Not scored</x:v>
      </x:c>
      <x:c r="J11" s="199" t="str">
        <x:f>'Remediation'!N11</x:f>
        <x:v>Incomplete</x:v>
      </x:c>
    </x:row>
    <x:row r="12">
      <x:c r="F12" s="196" t="n">
        <x:v>7</x:v>
      </x:c>
      <x:c r="G12" s="197" t="str">
        <x:v>Foundation-model capabilities, limitations, and basic model selection</x:v>
      </x:c>
      <x:c r="H12" s="198" t="str">
        <x:f>'Remediation'!D12</x:f>
      </x:c>
      <x:c r="I12" s="197" t="str">
        <x:f>'Remediation'!E12</x:f>
        <x:v>Not scored</x:v>
      </x:c>
      <x:c r="J12" s="199" t="str">
        <x:f>'Remediation'!N12</x:f>
        <x:v>Incomplete</x:v>
      </x:c>
    </x:row>
    <x:row r="13">
      <x:c r="A13" s="22" t="str">
        <x:v>Final Decision</x:v>
      </x:c>
      <x:c r="B13" s="22"/>
      <x:c r="C13" s="22"/>
      <x:c r="D13" s="22"/>
      <x:c r="F13" s="196" t="n">
        <x:v>8</x:v>
      </x:c>
      <x:c r="G13" s="197" t="str">
        <x:v>Basic Amazon Bedrock model invocation</x:v>
      </x:c>
      <x:c r="H13" s="198" t="str">
        <x:f>'Remediation'!D13</x:f>
      </x:c>
      <x:c r="I13" s="197" t="str">
        <x:f>'Remediation'!E13</x:f>
        <x:v>Not scored</x:v>
      </x:c>
      <x:c r="J13" s="199" t="str">
        <x:f>'Remediation'!N13</x:f>
        <x:v>Incomplete</x:v>
      </x:c>
    </x:row>
    <x:row r="14">
      <x:c r="A14" s="121" t="str">
        <x:f>IF(OR(D6="Not started",D7="Not started"),"NOT STARTED",IF(OR(D6="Incomplete",D8="Incomplete",D9="Incomplete",D10="Incomplete",D11="Incomplete"),"INCOMPLETE",IF(COUNTIF(D6:D11,"Gap")&gt;0,"REMEDIATE","PASS — READY FOR LAYER 1")))</x:f>
        <x:v>NOT STARTED</x:v>
      </x:c>
      <x:c r="B14" s="122"/>
      <x:c r="C14" s="122"/>
      <x:c r="D14" s="123"/>
      <x:c r="F14" s="196" t="n">
        <x:v>9</x:v>
      </x:c>
      <x:c r="G14" s="197" t="str">
        <x:v>Prompt fundamentals, instructions, templates, and structured outputs</x:v>
      </x:c>
      <x:c r="H14" s="198" t="str">
        <x:f>'Remediation'!D14</x:f>
      </x:c>
      <x:c r="I14" s="197" t="str">
        <x:f>'Remediation'!E14</x:f>
        <x:v>Not scored</x:v>
      </x:c>
      <x:c r="J14" s="199" t="str">
        <x:f>'Remediation'!N14</x:f>
        <x:v>Incomplete</x:v>
      </x:c>
    </x:row>
    <x:row r="15">
      <x:c r="A15" s="124"/>
      <x:c r="B15" s="125"/>
      <x:c r="C15" s="125"/>
      <x:c r="D15" s="126"/>
      <x:c r="F15" s="200" t="n">
        <x:v>10</x:v>
      </x:c>
      <x:c r="G15" s="201" t="str">
        <x:v>Basic GenAI evaluation concepts and golden datasets</x:v>
      </x:c>
      <x:c r="H15" s="202" t="n">
        <x:f>'Remediation'!D15</x:f>
        <x:v>0</x:v>
      </x:c>
      <x:c r="I15" s="201" t="str">
        <x:f>'Remediation'!E15</x:f>
        <x:v>Not scored</x:v>
      </x:c>
      <x:c r="J15" s="203" t="str">
        <x:f>'Remediation'!N15</x:f>
        <x:v>Incomplete</x:v>
      </x:c>
    </x:row>
    <x:row r="16">
      <x:c r="A16" s="127"/>
      <x:c r="B16" s="128"/>
      <x:c r="C16" s="128"/>
      <x:c r="D16" s="129"/>
    </x:row>
    <x:row r="18">
      <x:c r="A18" s="22" t="str">
        <x:v>Learner</x:v>
      </x:c>
      <x:c r="B18" s="22" t="str">
        <x:v>Assessor</x:v>
      </x:c>
      <x:c r="C18" s="22" t="str">
        <x:v>Decision Date</x:v>
      </x:c>
      <x:c r="D18" s="22" t="str">
        <x:v>Evidence / Sign-off</x:v>
      </x:c>
    </x:row>
    <x:row r="19">
      <x:c r="A19" s="225"/>
      <x:c r="B19" s="226"/>
      <x:c r="C19" s="252"/>
      <x:c r="D19" s="227"/>
    </x:row>
    <x:row r="20">
      <x:c r="A20" s="228"/>
      <x:c r="B20" s="229"/>
      <x:c r="C20" s="253"/>
      <x:c r="D20" s="230"/>
    </x:row>
    <x:row r="21">
      <x:c r="A21" s="231"/>
      <x:c r="B21" s="232"/>
      <x:c r="C21" s="254"/>
      <x:c r="D21" s="233"/>
    </x:row>
  </x:sheetData>
  <x:mergeCells>
    <x:mergeCell ref="A1:M1"/>
    <x:mergeCell ref="A2:M3"/>
    <x:mergeCell ref="A13:D13"/>
    <x:mergeCell ref="A14:D16"/>
  </x:mergeCells>
  <x:conditionalFormatting sqref="A14:D16">
    <x:cfRule type="expression" dxfId="13" priority="1">
      <x:formula>$A$14="PASS — READY FOR LAYER 1"</x:formula>
    </x:cfRule>
    <x:cfRule type="expression" dxfId="14" priority="2">
      <x:formula>$A$14="REMEDIATE"</x:formula>
    </x:cfRule>
  </x:conditionalFormatting>
  <x:conditionalFormatting sqref="J6:J15">
    <x:cfRule type="expression" dxfId="15" priority="3">
      <x:formula>OR(J6="Mastered",J6="Mastered after reassessment")</x:formula>
    </x:cfRule>
    <x:cfRule type="expression" dxfId="16" priority="4">
      <x:formula>J6="Remediate"</x:formula>
    </x:cfRule>
  </x:conditionalFormatting>
  <x:conditionalFormatting sqref="D6:D11">
    <x:cfRule type="expression" dxfId="17" priority="5">
      <x:formula>D6="Pass"</x:formula>
    </x:cfRule>
    <x:cfRule type="expression" dxfId="18" priority="6">
      <x:formula>D6="Gap"</x:formula>
    </x:cfRule>
  </x:conditionalFormatting>
  <x:pageMargins left="0.7" right="0.7" top="0.75" bottom="0.75" header="0.3" footer="0.3"/>
  <x:drawing xmlns:r="http://schemas.openxmlformats.org/officeDocument/2006/relationships" r:id="R326b0819a70c4438"/>
</x:worksheet>
</file>

<file path=xl/worksheets/sheet9.xml><?xml version="1.0" encoding="utf-8"?>
<x:worksheet xmlns:x="http://schemas.openxmlformats.org/spreadsheetml/2006/main">
  <x:sheetFormatPr defaultRowHeight="15"/>
  <x:cols>
    <x:col min="1" max="1" width="9" hidden="0" customWidth="1"/>
    <x:col min="2" max="2" width="26" hidden="0" customWidth="1"/>
    <x:col min="3" max="3" width="63" hidden="0" customWidth="1"/>
    <x:col min="4" max="4" width="3"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8" hidden="0" customWidth="1"/>
    <x:col min="12" max="12" width="18" hidden="0" customWidth="1"/>
  </x:cols>
  <x:sheetData>
    <x:row r="1" ht="32" customHeight="1">
      <x:c r="A1" s="5" t="str">
        <x:v>AIP-C01 Layer 0 — GenAI and AWS Foundations Mastery Kit</x:v>
      </x:c>
      <x:c r="B1" s="5"/>
      <x:c r="C1" s="5"/>
      <x:c r="D1" s="5"/>
      <x:c r="E1" s="5"/>
      <x:c r="F1" s="5"/>
      <x:c r="G1" s="5"/>
      <x:c r="H1" s="5"/>
      <x:c r="I1" s="5"/>
      <x:c r="J1" s="5"/>
      <x:c r="K1" s="5"/>
      <x:c r="L1" s="5"/>
    </x:row>
    <x:row r="2" ht="38" customHeight="1">
      <x:c r="A2" s="13" t="str">
        <x:v>Purpose: teach, practise, assess, remediate, and certify mastery of Topics 1–10 before Layer 1. Verified against the current official AWS AIP-C01 exam guide and Amazon Bedrock documentation on 2026-06-15.</x:v>
      </x:c>
      <x:c r="B2" s="13"/>
      <x:c r="C2" s="13"/>
      <x:c r="D2" s="13"/>
      <x:c r="E2" s="13"/>
      <x:c r="F2" s="13"/>
      <x:c r="G2" s="13"/>
      <x:c r="H2" s="13"/>
      <x:c r="I2" s="13"/>
      <x:c r="J2" s="13"/>
      <x:c r="K2" s="13"/>
      <x:c r="L2" s="13"/>
    </x:row>
    <x:row r="3" ht="38" customHeight="1">
      <x:c r="A3" s="13"/>
      <x:c r="B3" s="13"/>
      <x:c r="C3" s="13"/>
      <x:c r="D3" s="13"/>
      <x:c r="E3" s="13"/>
      <x:c r="F3" s="13"/>
      <x:c r="G3" s="13"/>
      <x:c r="H3" s="13"/>
      <x:c r="I3" s="13"/>
      <x:c r="J3" s="13"/>
      <x:c r="K3" s="13"/>
      <x:c r="L3" s="13"/>
    </x:row>
    <x:row r="5">
      <x:c r="A5" s="265" t="str">
        <x:v>Entry Topics Passed</x:v>
      </x:c>
      <x:c r="B5" s="266"/>
      <x:c r="C5" s="265" t="str">
        <x:v>Topic Checks Passed</x:v>
      </x:c>
      <x:c r="D5" s="266"/>
      <x:c r="E5" s="265" t="str">
        <x:v>Practicals Passed</x:v>
      </x:c>
      <x:c r="F5" s="266"/>
      <x:c r="G5" s="265" t="str">
        <x:v>Exit Score</x:v>
      </x:c>
      <x:c r="H5" s="266"/>
      <x:c r="I5" s="265" t="str">
        <x:v>Exit Topics Passed</x:v>
      </x:c>
      <x:c r="J5" s="266"/>
      <x:c r="K5" s="265" t="str">
        <x:v>Layer Decision</x:v>
      </x:c>
      <x:c r="L5" s="266"/>
    </x:row>
    <x:row r="6">
      <x:c r="A6" s="296" t="n">
        <x:f>COUNTIF('Entry Interpretation'!$D$6:$D$15,"Pass")</x:f>
        <x:v>0</x:v>
      </x:c>
      <x:c r="B6" s="297"/>
      <x:c r="C6" s="296" t="n">
        <x:f>COUNTIF('Remediation'!$C$6:$C$15,"&gt;=70%")</x:f>
        <x:v>0</x:v>
      </x:c>
      <x:c r="D6" s="297"/>
      <x:c r="E6" s="296" t="n">
        <x:f>COUNTIF('Practical Exercises'!$M$6:$M$11,"Pass")</x:f>
        <x:v>0</x:v>
      </x:c>
      <x:c r="F6" s="297"/>
      <x:c r="G6" s="328" t="str">
        <x:f>IF(COUNT('Exit Assessment'!$K$6:$K$35)=0,"",SUM('Exit Assessment'!$K$6:$K$35)/100)</x:f>
      </x:c>
      <x:c r="H6" s="329"/>
      <x:c r="I6" s="296" t="n">
        <x:f>COUNTIF('Remediation'!$D$6:$D$15,"&gt;=70%")</x:f>
        <x:v>0</x:v>
      </x:c>
      <x:c r="J6" s="297"/>
      <x:c r="K6" s="296" t="str">
        <x:f>'Progression Decision'!$A$14</x:f>
        <x:v>NOT STARTED</x:v>
      </x:c>
      <x:c r="L6" s="297"/>
    </x:row>
    <x:row r="7">
      <x:c r="A7" s="298"/>
      <x:c r="B7" s="299"/>
      <x:c r="C7" s="298"/>
      <x:c r="D7" s="299"/>
      <x:c r="E7" s="298"/>
      <x:c r="F7" s="299"/>
      <x:c r="G7" s="330"/>
      <x:c r="H7" s="331"/>
      <x:c r="I7" s="298"/>
      <x:c r="J7" s="299"/>
      <x:c r="K7" s="298"/>
      <x:c r="L7" s="299"/>
    </x:row>
    <x:row r="8">
      <x:c r="A8" s="300"/>
      <x:c r="B8" s="301"/>
      <x:c r="C8" s="300"/>
      <x:c r="D8" s="301"/>
      <x:c r="E8" s="300"/>
      <x:c r="F8" s="301"/>
      <x:c r="G8" s="332"/>
      <x:c r="H8" s="333"/>
      <x:c r="I8" s="300"/>
      <x:c r="J8" s="301"/>
      <x:c r="K8" s="300"/>
      <x:c r="L8" s="301"/>
    </x:row>
    <x:row r="11">
      <x:c r="A11" s="22" t="str">
        <x:v>Step</x:v>
      </x:c>
      <x:c r="B11" s="22" t="str">
        <x:v>Sheet</x:v>
      </x:c>
      <x:c r="C11" s="22" t="str">
        <x:v>What to Do</x:v>
      </x:c>
      <x:c r="E11" s="22" t="str">
        <x:v>Layer 0 Gate Rules</x:v>
      </x:c>
      <x:c r="F11" s="22"/>
      <x:c r="G11" s="22"/>
      <x:c r="H11" s="22"/>
      <x:c r="I11" s="22"/>
      <x:c r="J11" s="22"/>
      <x:c r="K11" s="22"/>
      <x:c r="L11" s="22"/>
    </x:row>
    <x:row r="12" ht="42" customHeight="1">
      <x:c r="A12" s="32" t="n">
        <x:v>1</x:v>
      </x:c>
      <x:c r="B12" s="33" t="str">
        <x:v>Entry Interpretation</x:v>
      </x:c>
      <x:c r="C12" s="34" t="str">
        <x:v>Copy Q001–Q006 results, complete B07–B10, and determine full study versus targeted review.</x:v>
      </x:c>
      <x:c r="E12" s="359" t="str">
        <x:v>PASS requires all of the following:
• All 30 exit items scored
• Overall exit score ≥ 80%
• Every topic exit score ≥ 70%
• All 10 constructed exit tasks pass
• All 6 practical exercises pass independently
• All 10 final topic statuses are Mastered
Because Layer 0 topics are hard prerequisites, the workbook does not grant an automatic conditional pass.</x:v>
      </x:c>
      <x:c r="F12" s="360"/>
      <x:c r="G12" s="360"/>
      <x:c r="H12" s="360"/>
      <x:c r="I12" s="360"/>
      <x:c r="J12" s="360"/>
      <x:c r="K12" s="360"/>
      <x:c r="L12" s="361"/>
    </x:row>
    <x:row r="13" ht="42" customHeight="1">
      <x:c r="A13" s="35" t="n">
        <x:v>2</x:v>
      </x:c>
      <x:c r="B13" s="36" t="str">
        <x:v>Learning Plan</x:v>
      </x:c>
      <x:c r="C13" s="37" t="str">
        <x:v>Work Topics 1–10 in order and produce the required learning artifacts.</x:v>
      </x:c>
      <x:c r="E13" s="362"/>
      <x:c r="F13" s="363"/>
      <x:c r="G13" s="363"/>
      <x:c r="H13" s="363"/>
      <x:c r="I13" s="363"/>
      <x:c r="J13" s="363"/>
      <x:c r="K13" s="363"/>
      <x:c r="L13" s="364"/>
    </x:row>
    <x:row r="14" ht="42" customHeight="1">
      <x:c r="A14" s="35" t="n">
        <x:v>3</x:v>
      </x:c>
      <x:c r="B14" s="36" t="str">
        <x:v>Topic Mastery Checks</x:v>
      </x:c>
      <x:c r="C14" s="37" t="str">
        <x:v>Complete the two formative items after each topic; remediate immediately when needed.</x:v>
      </x:c>
      <x:c r="E14" s="362"/>
      <x:c r="F14" s="363"/>
      <x:c r="G14" s="363"/>
      <x:c r="H14" s="363"/>
      <x:c r="I14" s="363"/>
      <x:c r="J14" s="363"/>
      <x:c r="K14" s="363"/>
      <x:c r="L14" s="364"/>
    </x:row>
    <x:row r="15" ht="42" customHeight="1">
      <x:c r="A15" s="35" t="n">
        <x:v>4</x:v>
      </x:c>
      <x:c r="B15" s="36" t="str">
        <x:v>Practical Exercises</x:v>
      </x:c>
      <x:c r="C15" s="37" t="str">
        <x:v>Complete all six required artifacts and obtain rubric-based assessor scores.</x:v>
      </x:c>
      <x:c r="E15" s="362"/>
      <x:c r="F15" s="363"/>
      <x:c r="G15" s="363"/>
      <x:c r="H15" s="363"/>
      <x:c r="I15" s="363"/>
      <x:c r="J15" s="363"/>
      <x:c r="K15" s="363"/>
      <x:c r="L15" s="364"/>
    </x:row>
    <x:row r="16" ht="42" customHeight="1">
      <x:c r="A16" s="35" t="n">
        <x:v>5</x:v>
      </x:c>
      <x:c r="B16" s="36" t="str">
        <x:v>Exit Assessment</x:v>
      </x:c>
      <x:c r="C16" s="37" t="str">
        <x:v>Complete all 30 items only after the learning plan and practicals are ready.</x:v>
      </x:c>
      <x:c r="E16" s="362"/>
      <x:c r="F16" s="363"/>
      <x:c r="G16" s="363"/>
      <x:c r="H16" s="363"/>
      <x:c r="I16" s="363"/>
      <x:c r="J16" s="363"/>
      <x:c r="K16" s="363"/>
      <x:c r="L16" s="364"/>
    </x:row>
    <x:row r="17" ht="42" customHeight="1">
      <x:c r="A17" s="35" t="n">
        <x:v>6</x:v>
      </x:c>
      <x:c r="B17" s="36" t="str">
        <x:v>Remediation</x:v>
      </x:c>
      <x:c r="C17" s="37" t="str">
        <x:v>Use topic and gap-type results to assign targeted correction and reassessment.</x:v>
      </x:c>
      <x:c r="E17" s="362"/>
      <x:c r="F17" s="363"/>
      <x:c r="G17" s="363"/>
      <x:c r="H17" s="363"/>
      <x:c r="I17" s="363"/>
      <x:c r="J17" s="363"/>
      <x:c r="K17" s="363"/>
      <x:c r="L17" s="364"/>
    </x:row>
    <x:row r="18" ht="42" customHeight="1">
      <x:c r="A18" s="35" t="n">
        <x:v>7</x:v>
      </x:c>
      <x:c r="B18" s="36" t="str">
        <x:v>Progression Decision</x:v>
      </x:c>
      <x:c r="C18" s="37" t="str">
        <x:v>Review the formula-driven gate and sign off only after PASS — READY FOR LAYER 1.</x:v>
      </x:c>
      <x:c r="E18" s="365"/>
      <x:c r="F18" s="366"/>
      <x:c r="G18" s="366"/>
      <x:c r="H18" s="366"/>
      <x:c r="I18" s="366"/>
      <x:c r="J18" s="366"/>
      <x:c r="K18" s="366"/>
      <x:c r="L18" s="367"/>
    </x:row>
    <x:row r="19" ht="42" customHeight="1">
      <x:c r="A19" s="38" t="n">
        <x:v>8</x:v>
      </x:c>
      <x:c r="B19" s="39" t="str">
        <x:v>Answer Key &amp; Rubrics</x:v>
      </x:c>
      <x:c r="C19" s="40" t="str">
        <x:v>Use only after attempting the relevant assessment; record evidence, not just scores.</x:v>
      </x:c>
    </x:row>
    <x:row r="20">
      <x:c r="E20" s="22" t="str">
        <x:v>Important Use Notes</x:v>
      </x:c>
      <x:c r="F20" s="22"/>
      <x:c r="G20" s="22"/>
      <x:c r="H20" s="22"/>
      <x:c r="I20" s="22"/>
      <x:c r="J20" s="22"/>
      <x:c r="K20" s="22"/>
      <x:c r="L20" s="22"/>
    </x:row>
    <x:row r="21">
      <x:c r="E21" s="415" t="str">
        <x:v>• Yellow cells are intended for learner or assessor input.
• Multiple-choice scores are automatic; constructed tasks and practicals require rubric-based assessment.
• Entry passes shorten review but never replace the topic check or exit gate.
• Use evidence links, code, diagrams, test results, and ADRs wherever the workbook requests an artifact.
• Model availability, API compatibility, and access behavior can change; consult the Sources sheet and current AWS documentation.</x:v>
      </x:c>
      <x:c r="F21" s="416"/>
      <x:c r="G21" s="416"/>
      <x:c r="H21" s="416"/>
      <x:c r="I21" s="416"/>
      <x:c r="J21" s="416"/>
      <x:c r="K21" s="416"/>
      <x:c r="L21" s="417"/>
    </x:row>
    <x:row r="22">
      <x:c r="E22" s="418"/>
      <x:c r="F22" s="419"/>
      <x:c r="G22" s="419"/>
      <x:c r="H22" s="419"/>
      <x:c r="I22" s="419"/>
      <x:c r="J22" s="419"/>
      <x:c r="K22" s="419"/>
      <x:c r="L22" s="420"/>
    </x:row>
    <x:row r="23">
      <x:c r="E23" s="418"/>
      <x:c r="F23" s="419"/>
      <x:c r="G23" s="419"/>
      <x:c r="H23" s="419"/>
      <x:c r="I23" s="419"/>
      <x:c r="J23" s="419"/>
      <x:c r="K23" s="419"/>
      <x:c r="L23" s="420"/>
    </x:row>
    <x:row r="24">
      <x:c r="E24" s="418"/>
      <x:c r="F24" s="419"/>
      <x:c r="G24" s="419"/>
      <x:c r="H24" s="419"/>
      <x:c r="I24" s="419"/>
      <x:c r="J24" s="419"/>
      <x:c r="K24" s="419"/>
      <x:c r="L24" s="420"/>
    </x:row>
    <x:row r="25">
      <x:c r="E25" s="418"/>
      <x:c r="F25" s="419"/>
      <x:c r="G25" s="419"/>
      <x:c r="H25" s="419"/>
      <x:c r="I25" s="419"/>
      <x:c r="J25" s="419"/>
      <x:c r="K25" s="419"/>
      <x:c r="L25" s="420"/>
    </x:row>
    <x:row r="26">
      <x:c r="E26" s="421"/>
      <x:c r="F26" s="422"/>
      <x:c r="G26" s="422"/>
      <x:c r="H26" s="422"/>
      <x:c r="I26" s="422"/>
      <x:c r="J26" s="422"/>
      <x:c r="K26" s="422"/>
      <x:c r="L26" s="423"/>
    </x:row>
  </x:sheetData>
  <x:mergeCells>
    <x:mergeCell ref="A1:L1"/>
    <x:mergeCell ref="A2:L3"/>
    <x:mergeCell ref="A5:B5"/>
    <x:mergeCell ref="A6:B8"/>
    <x:mergeCell ref="C5:D5"/>
    <x:mergeCell ref="C6:D8"/>
    <x:mergeCell ref="E5:F5"/>
    <x:mergeCell ref="E6:F8"/>
    <x:mergeCell ref="G5:H5"/>
    <x:mergeCell ref="G6:H8"/>
    <x:mergeCell ref="I5:J5"/>
    <x:mergeCell ref="I6:J8"/>
    <x:mergeCell ref="K5:L5"/>
    <x:mergeCell ref="K6:L8"/>
    <x:mergeCell ref="E11:L11"/>
    <x:mergeCell ref="E12:L18"/>
    <x:mergeCell ref="E20:L20"/>
    <x:mergeCell ref="E21:L26"/>
  </x:mergeCells>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58" hidden="0" customWidth="1"/>
    <x:col min="3" max="3" width="80" hidden="0" customWidth="1"/>
    <x:col min="4" max="4" width="14" hidden="0" customWidth="1"/>
  </x:cols>
  <x:sheetData>
    <x:row r="1" ht="30" customHeight="1">
      <x:c r="A1" s="5" t="str">
        <x:v>Layer 0 Official Sources and Verification</x:v>
      </x:c>
      <x:c r="B1" s="5"/>
      <x:c r="C1" s="5"/>
      <x:c r="D1" s="5"/>
    </x:row>
    <x:row r="2" ht="38" customHeight="1">
      <x:c r="A2" s="13" t="str">
        <x:v>AWS documentation is the source of truth for exam scope, Bedrock APIs, model compatibility, security, prompting, and evaluation. Revalidate before a future exam attempt because the exam guide explicitly states that its outline is not exhaustive.</x:v>
      </x:c>
      <x:c r="B2" s="13"/>
      <x:c r="C2" s="13"/>
      <x:c r="D2" s="13"/>
    </x:row>
    <x:row r="3" ht="38" customHeight="1">
      <x:c r="A3" s="13"/>
      <x:c r="B3" s="13"/>
      <x:c r="C3" s="13"/>
      <x:c r="D3" s="13"/>
    </x:row>
    <x:row r="5">
      <x:c r="A5" s="22" t="str">
        <x:v>Source</x:v>
      </x:c>
      <x:c r="B5" s="22" t="str">
        <x:v>Purpose</x:v>
      </x:c>
      <x:c r="C5" s="22" t="str">
        <x:v>URL</x:v>
      </x:c>
      <x:c r="D5" s="22" t="str">
        <x:v>Verified Date</x:v>
      </x:c>
    </x:row>
    <x:row r="6" ht="42" customHeight="1">
      <x:c r="A6" s="32" t="str">
        <x:v>AWS AIP-C01 Exam Guide</x:v>
      </x:c>
      <x:c r="B6" s="33" t="str">
        <x:v>Current domains, task structure, and exam framing</x:v>
      </x:c>
      <x:c r="C6" s="33" t="str">
        <x:v>https://docs.aws.amazon.com/aws-certification/latest/ai-professional-01/ai-professional-01.html</x:v>
      </x:c>
      <x:c r="D6" s="34" t="str">
        <x:v>2026-06-15</x:v>
      </x:c>
    </x:row>
    <x:row r="7" ht="42" customHeight="1">
      <x:c r="A7" s="35" t="str">
        <x:v>AIP-C01 Domain 1</x:v>
      </x:c>
      <x:c r="B7" s="36" t="str">
        <x:v>Requirements, FM selection, data, evaluation, compliance</x:v>
      </x:c>
      <x:c r="C7" s="36" t="str">
        <x:v>https://docs.aws.amazon.com/aws-certification/latest/ai-professional-01/ai-professional-01-domain1.html</x:v>
      </x:c>
      <x:c r="D7" s="37" t="str">
        <x:v>2026-06-15</x:v>
      </x:c>
    </x:row>
    <x:row r="8" ht="42" customHeight="1">
      <x:c r="A8" s="35" t="str">
        <x:v>AIP-C01 Domain 2</x:v>
      </x:c>
      <x:c r="B8" s="36" t="str">
        <x:v>Implementation, enterprise integration, APIs, application patterns</x:v>
      </x:c>
      <x:c r="C8" s="36" t="str">
        <x:v>https://docs.aws.amazon.com/aws-certification/latest/ai-professional-01/ai-professional-01-domain2.html</x:v>
      </x:c>
      <x:c r="D8" s="37" t="str">
        <x:v>2026-06-15</x:v>
      </x:c>
    </x:row>
    <x:row r="9" ht="42" customHeight="1">
      <x:c r="A9" s="35" t="str">
        <x:v>AIP-C01 Technologies and Concepts</x:v>
      </x:c>
      <x:c r="B9" s="36" t="str">
        <x:v>Cross-domain concepts that may appear</x:v>
      </x:c>
      <x:c r="C9" s="36" t="str">
        <x:v>https://docs.aws.amazon.com/aws-certification/latest/ai-professional-01/ai-professional-01-technologies-concepts.html</x:v>
      </x:c>
      <x:c r="D9" s="37" t="str">
        <x:v>2026-06-15</x:v>
      </x:c>
    </x:row>
    <x:row r="10" ht="42" customHeight="1">
      <x:c r="A10" s="35" t="str">
        <x:v>AIP-C01 In-Scope Services</x:v>
      </x:c>
      <x:c r="B10" s="36" t="str">
        <x:v>AWS service coverage reference</x:v>
      </x:c>
      <x:c r="C10" s="36" t="str">
        <x:v>https://docs.aws.amazon.com/aws-certification/latest/ai-professional-01/aip-01-in-scope-services.html</x:v>
      </x:c>
      <x:c r="D10" s="37" t="str">
        <x:v>2026-06-15</x:v>
      </x:c>
    </x:row>
    <x:row r="11" ht="42" customHeight="1">
      <x:c r="A11" s="35" t="str">
        <x:v>Bedrock Foundation Models</x:v>
      </x:c>
      <x:c r="B11" s="36" t="str">
        <x:v>FM concepts, capabilities, Regions, and support</x:v>
      </x:c>
      <x:c r="C11" s="36" t="str">
        <x:v>https://docs.aws.amazon.com/bedrock/latest/userguide/foundation-models-reference.html</x:v>
      </x:c>
      <x:c r="D11" s="37" t="str">
        <x:v>2026-06-15</x:v>
      </x:c>
    </x:row>
    <x:row r="12" ht="42" customHeight="1">
      <x:c r="A12" s="35" t="str">
        <x:v>Bedrock Model Availability and Compatibility</x:v>
      </x:c>
      <x:c r="B12" s="36" t="str">
        <x:v>APIs, endpoints, availability, and model compatibility</x:v>
      </x:c>
      <x:c r="C12" s="36" t="str">
        <x:v>https://docs.aws.amazon.com/bedrock/latest/userguide/models.html</x:v>
      </x:c>
      <x:c r="D12" s="37" t="str">
        <x:v>2026-06-15</x:v>
      </x:c>
    </x:row>
    <x:row r="13" ht="42" customHeight="1">
      <x:c r="A13" s="35" t="str">
        <x:v>Bedrock Inference Parameters</x:v>
      </x:c>
      <x:c r="B13" s="36" t="str">
        <x:v>Temperature, top-p, output length, and response behavior</x:v>
      </x:c>
      <x:c r="C13" s="36" t="str">
        <x:v>https://docs.aws.amazon.com/bedrock/latest/userguide/inference-parameters.html</x:v>
      </x:c>
      <x:c r="D13" s="37" t="str">
        <x:v>2026-06-15</x:v>
      </x:c>
    </x:row>
    <x:row r="14" ht="42" customHeight="1">
      <x:c r="A14" s="35" t="str">
        <x:v>Bedrock Quickstart</x:v>
      </x:c>
      <x:c r="B14" s="36" t="str">
        <x:v>Current supported introductory inference paths</x:v>
      </x:c>
      <x:c r="C14" s="36" t="str">
        <x:v>https://docs.aws.amazon.com/bedrock/latest/userguide/getting-started.html</x:v>
      </x:c>
      <x:c r="D14" s="37" t="str">
        <x:v>2026-06-15</x:v>
      </x:c>
    </x:row>
    <x:row r="15" ht="42" customHeight="1">
      <x:c r="A15" s="35" t="str">
        <x:v>InvokeModel API</x:v>
      </x:c>
      <x:c r="B15" s="36" t="str">
        <x:v>Request purpose and bedrock:InvokeModel authorization</x:v>
      </x:c>
      <x:c r="C15" s="36" t="str">
        <x:v>https://docs.aws.amazon.com/bedrock/latest/APIReference/API_runtime_InvokeModel.html</x:v>
      </x:c>
      <x:c r="D15" s="37" t="str">
        <x:v>2026-06-15</x:v>
      </x:c>
    </x:row>
    <x:row r="16" ht="42" customHeight="1">
      <x:c r="A16" s="35" t="str">
        <x:v>Bedrock Service Authorization</x:v>
      </x:c>
      <x:c r="B16" s="36" t="str">
        <x:v>Actions, resources, and condition keys for IAM design</x:v>
      </x:c>
      <x:c r="C16" s="36" t="str">
        <x:v>https://docs.aws.amazon.com/service-authorization/latest/reference/list_amazonbedrock.html</x:v>
      </x:c>
      <x:c r="D16" s="37" t="str">
        <x:v>2026-06-15</x:v>
      </x:c>
    </x:row>
    <x:row r="17" ht="42" customHeight="1">
      <x:c r="A17" s="35" t="str">
        <x:v>AWS SRA for AI</x:v>
      </x:c>
      <x:c r="B17" s="36" t="str">
        <x:v>IAM, network, data protection, input/output validation, logging, and monitoring</x:v>
      </x:c>
      <x:c r="C17" s="36" t="str">
        <x:v>https://docs.aws.amazon.com/prescriptive-guidance/latest/security-reference-architecture-generative-ai/gen-ai-sra.html</x:v>
      </x:c>
      <x:c r="D17" s="37" t="str">
        <x:v>2026-06-15</x:v>
      </x:c>
    </x:row>
    <x:row r="18" ht="42" customHeight="1">
      <x:c r="A18" s="35" t="str">
        <x:v>Bedrock Prompt Management</x:v>
      </x:c>
      <x:c r="B18" s="36" t="str">
        <x:v>Reusable prompts, variables, models, and inference configuration</x:v>
      </x:c>
      <x:c r="C18" s="36" t="str">
        <x:v>https://docs.aws.amazon.com/bedrock/latest/userguide/prompt-management.html</x:v>
      </x:c>
      <x:c r="D18" s="37" t="str">
        <x:v>2026-06-15</x:v>
      </x:c>
    </x:row>
    <x:row r="19" ht="42" customHeight="1">
      <x:c r="A19" s="38" t="str">
        <x:v>Bedrock Evaluations</x:v>
      </x:c>
      <x:c r="B19" s="39" t="str">
        <x:v>Model and RAG evaluation approaches and evidence</x:v>
      </x:c>
      <x:c r="C19" s="39" t="str">
        <x:v>https://docs.aws.amazon.com/en_us/bedrock/latest/userguide/evaluation.html</x:v>
      </x:c>
      <x:c r="D19" s="40" t="str">
        <x:v>2026-06-15</x:v>
      </x:c>
    </x:row>
  </x:sheetData>
  <x:mergeCells>
    <x:mergeCell ref="A1:D1"/>
    <x:mergeCell ref="A2:D3"/>
  </x:mergeCells>
  <x:pageMargins left="0.7" right="0.7" top="0.75" bottom="0.75" header="0.3" footer="0.3"/>
  <x:tableParts count="1">
    <x:tablePart xmlns:r="http://schemas.openxmlformats.org/officeDocument/2006/relationships" r:id="R1854d14fa83d44c0"/>
  </x:tableParts>
</x:worksheet>
</file>

<file path=xl/worksheets/sheet11.xml><?xml version="1.0" encoding="utf-8"?>
<x:worksheet xmlns:x="http://schemas.openxmlformats.org/spreadsheetml/2006/main">
  <x:sheetFormatPr defaultRowHeight="15"/>
  <x:cols>
    <x:col min="1" max="1" width="28" hidden="0" customWidth="1"/>
    <x:col min="2" max="2" width="22" hidden="0" customWidth="1"/>
    <x:col min="3" max="3" width="16" hidden="0" customWidth="1"/>
    <x:col min="4" max="4" width="55" hidden="0" customWidth="1"/>
    <x:col min="5" max="5" width="15" hidden="0" customWidth="1"/>
    <x:col min="6" max="6" width="15" hidden="0" customWidth="1"/>
    <x:col min="7" max="7" width="15" hidden="0" customWidth="1"/>
    <x:col min="8" max="8" width="15" hidden="0" customWidth="1"/>
  </x:cols>
  <x:sheetData>
    <x:row r="1" ht="32" customHeight="1">
      <x:c r="A1" s="5" t="str">
        <x:v>AIP-C01 Layer 0 Mastery Kit — Open Here</x:v>
      </x:c>
      <x:c r="B1" s="5"/>
      <x:c r="C1" s="5"/>
      <x:c r="D1" s="5"/>
      <x:c r="E1" s="5"/>
      <x:c r="F1" s="5"/>
      <x:c r="G1" s="5"/>
      <x:c r="H1" s="5"/>
    </x:row>
    <x:row r="3">
      <x:c r="A3" s="480" t="str">
        <x:v>Begin with the Start Here sheet for the full dashboard and workflow.
Then use: Entry Interpretation → Learning Plan → Topic Mastery Checks → Practical Exercises → Exit Assessment → Remediation → Progression Decision.</x:v>
      </x:c>
      <x:c r="B3" s="481"/>
      <x:c r="C3" s="481"/>
      <x:c r="D3" s="481"/>
      <x:c r="E3" s="481"/>
      <x:c r="F3" s="481"/>
      <x:c r="G3" s="481"/>
      <x:c r="H3" s="482"/>
    </x:row>
    <x:row r="4">
      <x:c r="A4" s="483"/>
      <x:c r="B4" s="484"/>
      <x:c r="C4" s="484"/>
      <x:c r="D4" s="484"/>
      <x:c r="E4" s="484"/>
      <x:c r="F4" s="484"/>
      <x:c r="G4" s="484"/>
      <x:c r="H4" s="485"/>
    </x:row>
    <x:row r="5">
      <x:c r="A5" s="486"/>
      <x:c r="B5" s="487"/>
      <x:c r="C5" s="487"/>
      <x:c r="D5" s="487"/>
      <x:c r="E5" s="487"/>
      <x:c r="F5" s="487"/>
      <x:c r="G5" s="487"/>
      <x:c r="H5" s="488"/>
    </x:row>
    <x:row r="7">
      <x:c r="A7" s="22" t="str">
        <x:v>Current Metric</x:v>
      </x:c>
      <x:c r="B7" s="22" t="str">
        <x:v>Value</x:v>
      </x:c>
      <x:c r="C7" s="22" t="str">
        <x:v>Required</x:v>
      </x:c>
      <x:c r="D7" s="22" t="str">
        <x:v>Meaning</x:v>
      </x:c>
    </x:row>
    <x:row r="8">
      <x:c r="A8" s="192" t="str">
        <x:v>Exit items scored</x:v>
      </x:c>
      <x:c r="B8" s="539" t="n">
        <x:f>'Progression Decision'!C6</x:f>
        <x:v>0</x:v>
      </x:c>
      <x:c r="C8" s="193" t="str">
        <x:v>30</x:v>
      </x:c>
      <x:c r="D8" s="195" t="str">
        <x:v>The exit gate is incomplete until all items are scored.</x:v>
      </x:c>
    </x:row>
    <x:row r="9">
      <x:c r="A9" s="196" t="str">
        <x:v>Overall exit score</x:v>
      </x:c>
      <x:c r="B9" s="540" t="str">
        <x:f>'Progression Decision'!C7</x:f>
      </x:c>
      <x:c r="C9" s="197" t="str">
        <x:v>≥ 80%</x:v>
      </x:c>
      <x:c r="D9" s="199" t="str">
        <x:v>Overall knowledge and application threshold.</x:v>
      </x:c>
    </x:row>
    <x:row r="10">
      <x:c r="A10" s="196" t="str">
        <x:v>Practicals passed</x:v>
      </x:c>
      <x:c r="B10" s="541" t="n">
        <x:f>'Progression Decision'!C10</x:f>
        <x:v>0</x:v>
      </x:c>
      <x:c r="C10" s="197" t="str">
        <x:v>6 of 6</x:v>
      </x:c>
      <x:c r="D10" s="199" t="str">
        <x:v>Every practical must independently pass.</x:v>
      </x:c>
    </x:row>
    <x:row r="11">
      <x:c r="A11" s="196" t="str">
        <x:v>Topics mastered</x:v>
      </x:c>
      <x:c r="B11" s="541" t="n">
        <x:f>'Progression Decision'!C11</x:f>
        <x:v>0</x:v>
      </x:c>
      <x:c r="C11" s="197" t="str">
        <x:v>10 of 10</x:v>
      </x:c>
      <x:c r="D11" s="199" t="str">
        <x:v>Every Layer 0 hard-gate topic must be mastered.</x:v>
      </x:c>
    </x:row>
    <x:row r="12">
      <x:c r="A12" s="200" t="str">
        <x:v>Decision</x:v>
      </x:c>
      <x:c r="B12" s="542" t="str">
        <x:f>'Progression Decision'!A14</x:f>
        <x:v>NOT STARTED</x:v>
      </x:c>
      <x:c r="C12" s="201" t="str">
        <x:v>PASS</x:v>
      </x:c>
      <x:c r="D12" s="203" t="str">
        <x:v>Only PASS allows entry to Layer 1.</x:v>
      </x:c>
    </x:row>
  </x:sheetData>
  <x:mergeCells>
    <x:mergeCell ref="A1:H1"/>
    <x:mergeCell ref="A3:H5"/>
  </x:mergeCells>
  <x:pageMargins left="0.7" right="0.7" top="0.75" bottom="0.75" header="0.3" footer="0.3"/>
</x:worksheet>
</file>